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Feb UPDATED" sheetId="3" r:id="rId7"/>
    <sheet state="visible" name="Mar" sheetId="4" r:id="rId8"/>
    <sheet state="visible" name="Q1" sheetId="5" r:id="rId9"/>
    <sheet state="visible" name="AUM" sheetId="6" r:id="rId10"/>
    <sheet state="visible" name="NET SALES" sheetId="7" r:id="rId11"/>
  </sheets>
  <definedNames/>
  <calcPr/>
</workbook>
</file>

<file path=xl/sharedStrings.xml><?xml version="1.0" encoding="utf-8"?>
<sst xmlns="http://schemas.openxmlformats.org/spreadsheetml/2006/main" count="712" uniqueCount="161">
  <si>
    <t>PHILIPPINE INVESTMENT FUNDS ASSOCIATION, INC.</t>
  </si>
  <si>
    <t>MUTUAL FUNDS STATISTICAL REPORT</t>
  </si>
  <si>
    <t>Month of January 2026</t>
  </si>
  <si>
    <t>(Amounts in Peso)</t>
  </si>
  <si>
    <t xml:space="preserve">  F  O  R  - T  H  E -  M  O  N  T  H</t>
  </si>
  <si>
    <t xml:space="preserve"> Y  E  A  R  -  T  O  -  D  A  T  E</t>
  </si>
  <si>
    <t>Fund Category</t>
  </si>
  <si>
    <t>Fund Name</t>
  </si>
  <si>
    <t>ASSETS</t>
  </si>
  <si>
    <t>LIABILITIES</t>
  </si>
  <si>
    <t>NET ASSETS</t>
  </si>
  <si>
    <t>EQUITY INV.</t>
  </si>
  <si>
    <t>NO. OF A/C</t>
  </si>
  <si>
    <t>SALES</t>
  </si>
  <si>
    <t>REDEMPTIONS</t>
  </si>
  <si>
    <t>NET SALES</t>
  </si>
  <si>
    <t>TOTAL SALES</t>
  </si>
  <si>
    <t>TOTAL REDEMPTIONS</t>
  </si>
  <si>
    <t>TOTAL NET SALES</t>
  </si>
  <si>
    <t>Stock Funds</t>
  </si>
  <si>
    <t>Primarily invested in Peso Securities (shares)</t>
  </si>
  <si>
    <t>ALFM Growth Fund, Inc.</t>
  </si>
  <si>
    <t>ATRAM Alpha Opportunity Fund, Inc.</t>
  </si>
  <si>
    <t>ATRAM Phil. Equity Opportunity Fund, Inc.</t>
  </si>
  <si>
    <t>Climbs Share Capital Equity Investment Fund Corp.</t>
  </si>
  <si>
    <t>First Metro Consumer Fund, Inc.</t>
  </si>
  <si>
    <t>First Metro Save and Learn Equity Fund, Inc.</t>
  </si>
  <si>
    <t>First Metro Save and Learn Phil. Index Fund, Inc.</t>
  </si>
  <si>
    <t>MBG Equity Investment Fund, Inc.</t>
  </si>
  <si>
    <t>PAMI Equity Index Fund, Inc.</t>
  </si>
  <si>
    <t>Philam Strategic Growth Fund, Inc.</t>
  </si>
  <si>
    <t>Philequity Dividend Yield Fund, Inc.</t>
  </si>
  <si>
    <t>Philequity Fund, Inc.</t>
  </si>
  <si>
    <t>Philequity MSCI Phil. Index Fund, Inc.</t>
  </si>
  <si>
    <t>Philequity PSE Index Fund, Inc.</t>
  </si>
  <si>
    <t>Philippine Stock Index Fund Corp.</t>
  </si>
  <si>
    <t>Soldivo Strategic Growth Fund, Inc.</t>
  </si>
  <si>
    <t>Sun Life Prosperity Philippine Equity Fund, Inc.</t>
  </si>
  <si>
    <t>Sun Life Prosperity Phil. Stock Index Fund, Inc.</t>
  </si>
  <si>
    <t>United Fund, Inc.</t>
  </si>
  <si>
    <t>Primarily invested in Peso Securities (units)</t>
  </si>
  <si>
    <t>COL Equity Index Unitized Mutual Fund, Inc.</t>
  </si>
  <si>
    <t>COL Strategic Growth Equity Unitized Mutual Fund, Inc.</t>
  </si>
  <si>
    <t>Philequity Alpha One Fund, Inc.</t>
  </si>
  <si>
    <t>Exchange Traded Fund</t>
  </si>
  <si>
    <t>First Metro Phil. Equity Exchange Traded Fund, Inc.</t>
  </si>
  <si>
    <t xml:space="preserve">         Sub total - Peso Currency</t>
  </si>
  <si>
    <t>Primarily invested in foreign currency securities (shares)</t>
  </si>
  <si>
    <t>ATRAM AsiaPlus Equity Fund, Inc.</t>
  </si>
  <si>
    <t>Sun Life Prosperity World Voyager Fund, Inc.</t>
  </si>
  <si>
    <t xml:space="preserve">        Sub total - US Currency</t>
  </si>
  <si>
    <t>Sub total - stock funds</t>
  </si>
  <si>
    <t>Balanced Funds</t>
  </si>
  <si>
    <t>ATRAM Philippine Balanced Fund, Inc.</t>
  </si>
  <si>
    <t>ATRAM Unicapital Diversified Growth Fund, Inc.</t>
  </si>
  <si>
    <t>First Metro Save and Learn Balanced Fund, Inc.</t>
  </si>
  <si>
    <t>First Metro Save and Learn F.O.C.C.U.S. Dynamic Fund, Inc.</t>
  </si>
  <si>
    <t>NCM Mutual Fund of the Phils., Inc.</t>
  </si>
  <si>
    <t>PAMI Horizon Fund, Inc.</t>
  </si>
  <si>
    <t>Philam Fund, Inc.</t>
  </si>
  <si>
    <t>Solidaritas Fund, Inc.</t>
  </si>
  <si>
    <t>Sun Life Prosperity Balanced Fund, Inc.</t>
  </si>
  <si>
    <t>Sun Life Prosperity Dynamic Fund, Inc.</t>
  </si>
  <si>
    <r>
      <rPr>
        <rFont val="Arial"/>
        <color theme="1"/>
        <sz val="8.0"/>
      </rPr>
      <t xml:space="preserve">BPI Wealth Builder Multi-Asset Mutual Fund, Inc. </t>
    </r>
    <r>
      <rPr>
        <rFont val="Arial"/>
        <b/>
        <color theme="1"/>
        <sz val="8.0"/>
        <vertAlign val="superscript"/>
      </rPr>
      <t>2</t>
    </r>
  </si>
  <si>
    <t>Sun Life Prosperity Achiever Fund 2028, Inc.</t>
  </si>
  <si>
    <t>Sun Life Prosperity Achiever Fund 2038, Inc.</t>
  </si>
  <si>
    <t>Sun Life Prosperity Achiever Fund 2048, Inc.</t>
  </si>
  <si>
    <t>Cocolife Dollar Fund Builder, Inc.</t>
  </si>
  <si>
    <t>PAMI Asia Balanced Fund, Inc.</t>
  </si>
  <si>
    <t>Sun Life Prosperity Dollar Advantage Fund, Inc.</t>
  </si>
  <si>
    <t>Sun Life Prosperity Dollar Wellspring Fund, Inc.</t>
  </si>
  <si>
    <t>Sub total - balanced funds</t>
  </si>
  <si>
    <t>Bond Funds</t>
  </si>
  <si>
    <t>ALFM Peso Bond Fund, Inc.</t>
  </si>
  <si>
    <t>ATRAM Corporate Bond Fund, Inc.</t>
  </si>
  <si>
    <t>Cocolife Fixed Income Fund, Inc.</t>
  </si>
  <si>
    <t>Ekklesia Mutual Fund, Inc.</t>
  </si>
  <si>
    <t>First Metro Save and Learn Fixed Income Fund, Inc.</t>
  </si>
  <si>
    <t>Philam Bond Fund, Inc.</t>
  </si>
  <si>
    <t>Philam Managed Income Fund, Inc.</t>
  </si>
  <si>
    <t>Philequity Peso Bond Fund, Inc.</t>
  </si>
  <si>
    <t>Soldivo Bond Fund, Inc.</t>
  </si>
  <si>
    <t>Sun Life Prosperity Bond Fund, Inc.</t>
  </si>
  <si>
    <t>Sun Life Prosperity GS Fund, Inc.</t>
  </si>
  <si>
    <t>Corporate Debt Vehicle (units)</t>
  </si>
  <si>
    <r>
      <rPr>
        <rFont val="Arial"/>
        <color theme="1"/>
        <sz val="8.0"/>
      </rPr>
      <t xml:space="preserve">ATRAM Unitized Corporate Debt Vehicle, Inc. </t>
    </r>
    <r>
      <rPr>
        <rFont val="Arial"/>
        <b/>
        <color theme="1"/>
        <sz val="8.0"/>
        <vertAlign val="superscript"/>
      </rPr>
      <t>1</t>
    </r>
  </si>
  <si>
    <t>ALFM Dollar Bond Fund, Inc.</t>
  </si>
  <si>
    <t>ATRAM Total Return Dollar Bond Fund, Inc.</t>
  </si>
  <si>
    <t>First Metro Save and Learn Dollar Bond Fund, Inc.</t>
  </si>
  <si>
    <t>PAMI Global Bond Fund, Inc.</t>
  </si>
  <si>
    <t>Philam Dollar Bond Fund, Inc.</t>
  </si>
  <si>
    <t>Philequity Dollar Income Fund, Inc.</t>
  </si>
  <si>
    <t>Sun Life Prosperity Dollar Abundance Fund, Inc.</t>
  </si>
  <si>
    <t xml:space="preserve">         Sub total - US Currency</t>
  </si>
  <si>
    <t>ALFM Euro Bond Fund, Inc.</t>
  </si>
  <si>
    <t xml:space="preserve">        Sub total - Euro Currency</t>
  </si>
  <si>
    <t>Sub total - bond funds</t>
  </si>
  <si>
    <t>Money Market Funds</t>
  </si>
  <si>
    <t>AIB Money Market Mutual Fund, Inc.</t>
  </si>
  <si>
    <t>ALFM Money Market Fund, Inc.</t>
  </si>
  <si>
    <t>First Metro Save and Learn Money Market Fund, Inc.</t>
  </si>
  <si>
    <t>Sun Life Prosperity Peso Starter Fund, Inc.</t>
  </si>
  <si>
    <t>Sun Life Prosperity Dollar Starter Fund, Inc.</t>
  </si>
  <si>
    <t>Sub total - money market funds</t>
  </si>
  <si>
    <t>Feeder Fund</t>
  </si>
  <si>
    <t>Primarily invested in Peso securities (units)</t>
  </si>
  <si>
    <t>ALFM Global Multi-Asset Income Fund, Inc.</t>
  </si>
  <si>
    <t>Sun Life Prosperity World Equity Index Feeder Fund, Inc.</t>
  </si>
  <si>
    <t>Sun Life Prosperity World Income Fund, Inc.</t>
  </si>
  <si>
    <t>Primarily invested in foreign currency securities (units)</t>
  </si>
  <si>
    <t>Sub total - feeder fund</t>
  </si>
  <si>
    <t>GRAND TOTAL</t>
  </si>
  <si>
    <t>Notes:</t>
  </si>
  <si>
    <t>1 - The membership of its second tranche was officially approved by the PIFA Board on January 22, 2026. However, the fund has not yet been launched.</t>
  </si>
  <si>
    <t>2 - Launch date is December 18, 2024. Membership with PIFA was officially approved on September 12, 2025.</t>
  </si>
  <si>
    <t>Month of February 2026</t>
  </si>
  <si>
    <r>
      <rPr>
        <rFont val="Arial"/>
        <color theme="1"/>
        <sz val="8.0"/>
      </rPr>
      <t xml:space="preserve">Philequity Global Fund, Inc. </t>
    </r>
    <r>
      <rPr>
        <rFont val="Arial"/>
        <b/>
        <color theme="1"/>
        <sz val="8.0"/>
        <vertAlign val="superscript"/>
      </rPr>
      <t>3</t>
    </r>
  </si>
  <si>
    <r>
      <rPr>
        <rFont val="Arial"/>
        <color theme="1"/>
        <sz val="8.0"/>
      </rPr>
      <t xml:space="preserve">BPI Wealth Builder Multi-Asset Mutual Fund, Inc. </t>
    </r>
    <r>
      <rPr>
        <rFont val="Arial"/>
        <b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</si>
  <si>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b/>
        <color theme="1"/>
        <sz val="8.0"/>
        <vertAlign val="superscript"/>
      </rPr>
      <t>1</t>
    </r>
  </si>
  <si>
    <t>3 - Launch date is February 2, 2026. Membership with PIFA was officially approved on January 28, 2026.</t>
  </si>
  <si>
    <r>
      <rPr>
        <rFont val="Arial"/>
        <color theme="1"/>
        <sz val="8.0"/>
      </rPr>
      <t xml:space="preserve">Philequity Global Fund, Inc. </t>
    </r>
    <r>
      <rPr>
        <rFont val="Arial"/>
        <b/>
        <color theme="1"/>
        <sz val="8.0"/>
        <vertAlign val="superscript"/>
      </rPr>
      <t>3</t>
    </r>
  </si>
  <si>
    <r>
      <rPr>
        <rFont val="Arial"/>
        <color theme="1"/>
        <sz val="8.0"/>
      </rPr>
      <t xml:space="preserve">BPI Wealth Builder Multi-Asset Mutual Fund, Inc. </t>
    </r>
    <r>
      <rPr>
        <rFont val="Arial"/>
        <b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</si>
  <si>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b/>
        <color theme="1"/>
        <sz val="8.0"/>
        <vertAlign val="superscript"/>
      </rPr>
      <t>1</t>
    </r>
  </si>
  <si>
    <t>Month of March 2026</t>
  </si>
  <si>
    <r>
      <rPr>
        <rFont val="Arial"/>
        <color theme="1"/>
        <sz val="8.0"/>
      </rPr>
      <t xml:space="preserve">Philequity Global Fund, Inc. </t>
    </r>
    <r>
      <rPr>
        <rFont val="Arial"/>
        <b/>
        <color theme="1"/>
        <sz val="8.0"/>
        <vertAlign val="superscript"/>
      </rPr>
      <t>3</t>
    </r>
  </si>
  <si>
    <r>
      <rPr>
        <rFont val="Arial"/>
        <color theme="1"/>
        <sz val="8.0"/>
      </rPr>
      <t xml:space="preserve">BPI Wealth Builder Multi-Asset Mutual Fund, Inc. </t>
    </r>
    <r>
      <rPr>
        <rFont val="Arial"/>
        <b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</si>
  <si>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b/>
        <color theme="1"/>
        <sz val="8.0"/>
        <vertAlign val="superscript"/>
      </rPr>
      <t>1</t>
    </r>
  </si>
  <si>
    <t>For the First Quarter of 2026</t>
  </si>
  <si>
    <r>
      <rPr>
        <rFont val="Arial"/>
        <color theme="1"/>
        <sz val="8.0"/>
      </rPr>
      <t xml:space="preserve">Philequity Global Fund, Inc. </t>
    </r>
    <r>
      <rPr>
        <rFont val="Arial"/>
        <b/>
        <color theme="1"/>
        <sz val="8.0"/>
        <vertAlign val="superscript"/>
      </rPr>
      <t>3</t>
    </r>
  </si>
  <si>
    <r>
      <rPr>
        <rFont val="Arial"/>
        <color theme="1"/>
        <sz val="8.0"/>
      </rPr>
      <t xml:space="preserve">BPI Wealth Builder Multi-Asset Mutual Fund, Inc. </t>
    </r>
    <r>
      <rPr>
        <rFont val="Arial"/>
        <b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</si>
  <si>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b/>
        <color theme="1"/>
        <sz val="8.0"/>
        <vertAlign val="superscript"/>
      </rPr>
      <t>1</t>
    </r>
  </si>
  <si>
    <t>ASSET UNDER MANAGEMENT</t>
  </si>
  <si>
    <t>No.</t>
  </si>
  <si>
    <t>Company</t>
  </si>
  <si>
    <t>No. of Funds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</si>
  <si>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</si>
  <si>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</si>
  <si>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</si>
  <si>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</si>
  <si>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</si>
  <si>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</si>
  <si>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</si>
  <si>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</si>
  <si>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</si>
  <si>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</si>
  <si>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</si>
  <si>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</si>
  <si>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AIB</t>
  </si>
  <si>
    <t>ATR FAMI</t>
  </si>
  <si>
    <t>ATRAM</t>
  </si>
  <si>
    <t>BPI Wealth</t>
  </si>
  <si>
    <t>CAMCI</t>
  </si>
  <si>
    <t>CIMAC</t>
  </si>
  <si>
    <t>CMI</t>
  </si>
  <si>
    <t>MBG</t>
  </si>
  <si>
    <t>PEMI</t>
  </si>
  <si>
    <t>SLAMCI</t>
  </si>
  <si>
    <t>GRAND TOTALS</t>
  </si>
  <si>
    <t>YEAR-TO-DATE NET SALES</t>
  </si>
  <si>
    <t>Total Sales</t>
  </si>
  <si>
    <t>Total Redemptions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</si>
</sst>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_);_(* \(#,##0\);_(* &quot;-&quot;_);_(@_)"/>
    <numFmt numFmtId="166" formatCode="#,##0.0_);\(#,##0.0\)"/>
    <numFmt numFmtId="167" formatCode="_(* #,##0.00_);_(* \(#,##0.00\);_(* &quot;-&quot;??_);_(@_)"/>
    <numFmt numFmtId="168" formatCode="_(* #,##0.000_);_(* \(#,##0.000\);_(* &quot;-&quot;??_);_(@_)"/>
  </numFmts>
  <fonts count="9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/>
    <font>
      <i/>
      <sz val="8.0"/>
      <color theme="1"/>
      <name val="Arial"/>
    </font>
    <font>
      <b/>
      <i/>
      <sz val="8.0"/>
      <color theme="1"/>
      <name val="Arial"/>
    </font>
    <font>
      <sz val="8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</fills>
  <borders count="10">
    <border/>
    <border>
      <left/>
      <top/>
      <bottom/>
    </border>
    <border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39" xfId="0" applyFont="1" applyNumberFormat="1"/>
    <xf borderId="0" fillId="0" fontId="2" numFmtId="0" xfId="0" applyAlignment="1" applyFont="1">
      <alignment horizontal="center"/>
    </xf>
    <xf borderId="0" fillId="0" fontId="2" numFmtId="39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2" fontId="1" numFmtId="39" xfId="0" applyAlignment="1" applyBorder="1" applyFont="1" applyNumberFormat="1">
      <alignment horizontal="left"/>
    </xf>
    <xf borderId="3" fillId="2" fontId="2" numFmtId="0" xfId="0" applyAlignment="1" applyBorder="1" applyFont="1">
      <alignment horizontal="center"/>
    </xf>
    <xf borderId="3" fillId="2" fontId="1" numFmtId="3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165" xfId="0" applyAlignment="1" applyBorder="1" applyFont="1" applyNumberFormat="1">
      <alignment horizontal="center"/>
    </xf>
    <xf borderId="0" fillId="0" fontId="1" numFmtId="39" xfId="0" applyAlignment="1" applyFont="1" applyNumberFormat="1">
      <alignment horizontal="center"/>
    </xf>
    <xf borderId="0" fillId="0" fontId="4" numFmtId="39" xfId="0" applyFont="1" applyNumberFormat="1"/>
    <xf borderId="0" fillId="0" fontId="2" numFmtId="166" xfId="0" applyFont="1" applyNumberFormat="1"/>
    <xf borderId="0" fillId="0" fontId="2" numFmtId="39" xfId="0" applyAlignment="1" applyFont="1" applyNumberFormat="1">
      <alignment horizontal="right"/>
    </xf>
    <xf borderId="0" fillId="0" fontId="2" numFmtId="39" xfId="0" applyAlignment="1" applyFont="1" applyNumberFormat="1">
      <alignment horizontal="left"/>
    </xf>
    <xf borderId="0" fillId="0" fontId="5" numFmtId="39" xfId="0" applyFont="1" applyNumberFormat="1"/>
    <xf borderId="0" fillId="0" fontId="1" numFmtId="0" xfId="0" applyAlignment="1" applyFont="1">
      <alignment horizontal="center"/>
    </xf>
    <xf borderId="4" fillId="0" fontId="1" numFmtId="164" xfId="0" applyAlignment="1" applyBorder="1" applyFont="1" applyNumberFormat="1">
      <alignment horizontal="right"/>
    </xf>
    <xf borderId="4" fillId="0" fontId="1" numFmtId="165" xfId="0" applyAlignment="1" applyBorder="1" applyFont="1" applyNumberFormat="1">
      <alignment horizontal="right"/>
    </xf>
    <xf borderId="0" fillId="0" fontId="2" numFmtId="165" xfId="0" applyAlignment="1" applyFont="1" applyNumberFormat="1">
      <alignment horizontal="right"/>
    </xf>
    <xf borderId="4" fillId="0" fontId="1" numFmtId="165" xfId="0" applyBorder="1" applyFont="1" applyNumberFormat="1"/>
    <xf borderId="0" fillId="0" fontId="6" numFmtId="164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2" numFmtId="165" xfId="0" applyFont="1" applyNumberFormat="1"/>
    <xf borderId="0" fillId="0" fontId="1" numFmtId="0" xfId="0" applyFont="1"/>
    <xf borderId="0" fillId="0" fontId="2" numFmtId="0" xfId="0" applyFont="1"/>
    <xf borderId="0" fillId="0" fontId="1" numFmtId="37" xfId="0" applyAlignment="1" applyFont="1" applyNumberFormat="1">
      <alignment horizontal="center"/>
    </xf>
    <xf borderId="3" fillId="2" fontId="1" numFmtId="39" xfId="0" applyBorder="1" applyFont="1" applyNumberFormat="1"/>
    <xf borderId="3" fillId="2" fontId="1" numFmtId="0" xfId="0" applyAlignment="1" applyBorder="1" applyFont="1">
      <alignment horizontal="center"/>
    </xf>
    <xf borderId="3" fillId="2" fontId="7" numFmtId="0" xfId="0" applyBorder="1" applyFont="1"/>
    <xf borderId="5" fillId="2" fontId="1" numFmtId="164" xfId="0" applyAlignment="1" applyBorder="1" applyFont="1" applyNumberFormat="1">
      <alignment horizontal="right"/>
    </xf>
    <xf borderId="5" fillId="2" fontId="1" numFmtId="165" xfId="0" applyBorder="1" applyFont="1" applyNumberFormat="1"/>
    <xf borderId="0" fillId="0" fontId="8" numFmtId="0" xfId="0" applyFont="1"/>
    <xf borderId="0" fillId="0" fontId="4" numFmtId="0" xfId="0" applyFont="1"/>
    <xf borderId="3" fillId="3" fontId="2" numFmtId="39" xfId="0" applyBorder="1" applyFill="1" applyFont="1" applyNumberFormat="1"/>
    <xf borderId="3" fillId="3" fontId="2" numFmtId="0" xfId="0" applyAlignment="1" applyBorder="1" applyFont="1">
      <alignment horizontal="center"/>
    </xf>
    <xf borderId="3" fillId="3" fontId="2" numFmtId="164" xfId="0" applyAlignment="1" applyBorder="1" applyFont="1" applyNumberFormat="1">
      <alignment horizontal="right"/>
    </xf>
    <xf borderId="3" fillId="3" fontId="2" numFmtId="164" xfId="0" applyBorder="1" applyFont="1" applyNumberFormat="1"/>
    <xf borderId="3" fillId="3" fontId="2" numFmtId="165" xfId="0" applyAlignment="1" applyBorder="1" applyFont="1" applyNumberFormat="1">
      <alignment horizontal="right"/>
    </xf>
    <xf borderId="4" fillId="0" fontId="1" numFmtId="167" xfId="0" applyAlignment="1" applyBorder="1" applyFont="1" applyNumberFormat="1">
      <alignment horizontal="right"/>
    </xf>
    <xf borderId="0" fillId="0" fontId="7" numFmtId="39" xfId="0" applyFont="1" applyNumberFormat="1"/>
    <xf borderId="0" fillId="0" fontId="7" numFmtId="0" xfId="0" applyAlignment="1" applyFont="1">
      <alignment horizontal="left"/>
    </xf>
    <xf borderId="6" fillId="2" fontId="7" numFmtId="0" xfId="0" applyAlignment="1" applyBorder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left"/>
    </xf>
    <xf borderId="6" fillId="0" fontId="8" numFmtId="167" xfId="0" applyAlignment="1" applyBorder="1" applyFont="1" applyNumberFormat="1">
      <alignment horizontal="center"/>
    </xf>
    <xf borderId="6" fillId="0" fontId="8" numFmtId="3" xfId="0" applyBorder="1" applyFont="1" applyNumberFormat="1"/>
    <xf borderId="6" fillId="0" fontId="8" numFmtId="164" xfId="0" applyAlignment="1" applyBorder="1" applyFont="1" applyNumberFormat="1">
      <alignment horizontal="center"/>
    </xf>
    <xf borderId="8" fillId="0" fontId="8" numFmtId="164" xfId="0" applyAlignment="1" applyBorder="1" applyFont="1" applyNumberFormat="1">
      <alignment horizontal="center"/>
    </xf>
    <xf borderId="8" fillId="0" fontId="8" numFmtId="167" xfId="0" applyAlignment="1" applyBorder="1" applyFont="1" applyNumberFormat="1">
      <alignment horizontal="right"/>
    </xf>
    <xf borderId="8" fillId="0" fontId="8" numFmtId="167" xfId="0" applyAlignment="1" applyBorder="1" applyFont="1" applyNumberForma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6" fillId="0" fontId="8" numFmtId="0" xfId="0" applyBorder="1" applyFont="1"/>
    <xf borderId="6" fillId="0" fontId="8" numFmtId="167" xfId="0" applyBorder="1" applyFont="1" applyNumberFormat="1"/>
    <xf borderId="6" fillId="0" fontId="8" numFmtId="164" xfId="0" applyBorder="1" applyFont="1" applyNumberFormat="1"/>
    <xf borderId="6" fillId="0" fontId="8" numFmtId="167" xfId="0" applyAlignment="1" applyBorder="1" applyFont="1" applyNumberFormat="1">
      <alignment horizontal="right"/>
    </xf>
    <xf borderId="0" fillId="0" fontId="8" numFmtId="164" xfId="0" applyFont="1" applyNumberFormat="1"/>
    <xf borderId="0" fillId="0" fontId="8" numFmtId="3" xfId="0" applyFont="1" applyNumberFormat="1"/>
    <xf borderId="1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5" fillId="2" fontId="7" numFmtId="3" xfId="0" applyBorder="1" applyFont="1" applyNumberFormat="1"/>
    <xf borderId="9" fillId="0" fontId="7" numFmtId="3" xfId="0" applyBorder="1" applyFont="1" applyNumberFormat="1"/>
    <xf borderId="9" fillId="0" fontId="7" numFmtId="164" xfId="0" applyBorder="1" applyFont="1" applyNumberFormat="1"/>
    <xf borderId="0" fillId="0" fontId="8" numFmtId="167" xfId="0" applyFont="1" applyNumberFormat="1"/>
    <xf borderId="0" fillId="0" fontId="8" numFmtId="168" xfId="0" applyFont="1" applyNumberFormat="1"/>
    <xf borderId="0" fillId="0" fontId="7" numFmtId="0" xfId="0" applyFont="1"/>
    <xf borderId="7" fillId="2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wrapText="1"/>
    </xf>
    <xf borderId="6" fillId="0" fontId="8" numFmtId="0" xfId="0" applyAlignment="1" applyBorder="1" applyFont="1">
      <alignment horizontal="left" shrinkToFit="0" wrapText="1"/>
    </xf>
    <xf borderId="8" fillId="0" fontId="8" numFmtId="3" xfId="0" applyAlignment="1" applyBorder="1" applyFont="1" applyNumberFormat="1">
      <alignment horizontal="right" shrinkToFit="0" wrapText="1"/>
    </xf>
    <xf borderId="6" fillId="0" fontId="7" numFmtId="164" xfId="0" applyBorder="1" applyFont="1" applyNumberFormat="1"/>
    <xf borderId="0" fillId="0" fontId="8" numFmtId="164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6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2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3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3"/>
      <c r="L5" s="12" t="s">
        <v>5</v>
      </c>
      <c r="M5" s="1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4" t="s">
        <v>6</v>
      </c>
      <c r="B6" s="15"/>
      <c r="C6" s="16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8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0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0"/>
      <c r="B9" s="2">
        <v>1.0</v>
      </c>
      <c r="C9" s="3" t="s">
        <v>21</v>
      </c>
      <c r="D9" s="6">
        <v>3.566138553E9</v>
      </c>
      <c r="E9" s="6">
        <v>1.7961009E7</v>
      </c>
      <c r="F9" s="6">
        <f t="shared" ref="F9:F27" si="2">D9-E9</f>
        <v>3548177544</v>
      </c>
      <c r="G9" s="6">
        <v>3.472418894E9</v>
      </c>
      <c r="H9" s="6">
        <v>5367.0</v>
      </c>
      <c r="I9" s="6">
        <v>2640307.0</v>
      </c>
      <c r="J9" s="6">
        <v>4.8123098E7</v>
      </c>
      <c r="K9" s="4">
        <f t="shared" ref="K9:K27" si="3">I9-J9</f>
        <v>-45482791</v>
      </c>
      <c r="L9" s="4">
        <f t="shared" ref="L9:M9" si="1">I9</f>
        <v>2640307</v>
      </c>
      <c r="M9" s="4">
        <f t="shared" si="1"/>
        <v>48123098</v>
      </c>
      <c r="N9" s="4">
        <f t="shared" ref="N9:N27" si="5">L9-M9</f>
        <v>-45482791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0"/>
      <c r="B10" s="2">
        <f t="shared" ref="B10:B27" si="6">1+B9</f>
        <v>2</v>
      </c>
      <c r="C10" s="3" t="s">
        <v>22</v>
      </c>
      <c r="D10" s="6">
        <v>1.11341063611E9</v>
      </c>
      <c r="E10" s="6">
        <v>3.103423465E7</v>
      </c>
      <c r="F10" s="6">
        <f t="shared" si="2"/>
        <v>1082376401</v>
      </c>
      <c r="G10" s="6">
        <v>9.1868493945E8</v>
      </c>
      <c r="H10" s="6">
        <v>4230.0</v>
      </c>
      <c r="I10" s="6">
        <v>1.118678465E7</v>
      </c>
      <c r="J10" s="6">
        <v>8.996821411E7</v>
      </c>
      <c r="K10" s="4">
        <f t="shared" si="3"/>
        <v>-78781429.46</v>
      </c>
      <c r="L10" s="4">
        <f t="shared" ref="L10:M10" si="4">I10</f>
        <v>11186784.65</v>
      </c>
      <c r="M10" s="4">
        <f t="shared" si="4"/>
        <v>89968214.11</v>
      </c>
      <c r="N10" s="4">
        <f t="shared" si="5"/>
        <v>-78781429.46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0"/>
      <c r="B11" s="2">
        <f t="shared" si="6"/>
        <v>3</v>
      </c>
      <c r="C11" s="3" t="s">
        <v>23</v>
      </c>
      <c r="D11" s="6">
        <v>9.6244040469E8</v>
      </c>
      <c r="E11" s="6">
        <v>3514099.28</v>
      </c>
      <c r="F11" s="6">
        <f t="shared" si="2"/>
        <v>958926305.4</v>
      </c>
      <c r="G11" s="6">
        <v>9.0628747035E8</v>
      </c>
      <c r="H11" s="6">
        <v>2354.0</v>
      </c>
      <c r="I11" s="6">
        <v>5938717.93</v>
      </c>
      <c r="J11" s="6">
        <v>4.604836406E7</v>
      </c>
      <c r="K11" s="4">
        <f t="shared" si="3"/>
        <v>-40109646.13</v>
      </c>
      <c r="L11" s="4">
        <f t="shared" ref="L11:M11" si="7">I11</f>
        <v>5938717.93</v>
      </c>
      <c r="M11" s="4">
        <f t="shared" si="7"/>
        <v>46048364.06</v>
      </c>
      <c r="N11" s="4">
        <f t="shared" si="5"/>
        <v>-40109646.13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0"/>
      <c r="B12" s="2">
        <f t="shared" si="6"/>
        <v>4</v>
      </c>
      <c r="C12" s="3" t="s">
        <v>24</v>
      </c>
      <c r="D12" s="6">
        <v>5.100535457E8</v>
      </c>
      <c r="E12" s="6">
        <v>2.059482168E7</v>
      </c>
      <c r="F12" s="6">
        <f t="shared" si="2"/>
        <v>489458724</v>
      </c>
      <c r="G12" s="6">
        <v>2.7184791219E8</v>
      </c>
      <c r="H12" s="6">
        <v>1706.0</v>
      </c>
      <c r="I12" s="6">
        <v>63500.0</v>
      </c>
      <c r="J12" s="6">
        <v>1.644243625E7</v>
      </c>
      <c r="K12" s="4">
        <f t="shared" si="3"/>
        <v>-16378936.25</v>
      </c>
      <c r="L12" s="4">
        <f t="shared" ref="L12:M12" si="8">I12</f>
        <v>63500</v>
      </c>
      <c r="M12" s="4">
        <f t="shared" si="8"/>
        <v>16442436.25</v>
      </c>
      <c r="N12" s="4">
        <f t="shared" si="5"/>
        <v>-16378936.25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0"/>
      <c r="B13" s="2">
        <f t="shared" si="6"/>
        <v>5</v>
      </c>
      <c r="C13" s="3" t="s">
        <v>25</v>
      </c>
      <c r="D13" s="6">
        <v>2.75598731E8</v>
      </c>
      <c r="E13" s="6">
        <v>801995.0</v>
      </c>
      <c r="F13" s="6">
        <f t="shared" si="2"/>
        <v>274796736</v>
      </c>
      <c r="G13" s="6">
        <v>2.42385987E8</v>
      </c>
      <c r="H13" s="6">
        <v>1075.0</v>
      </c>
      <c r="I13" s="6">
        <v>148991.0</v>
      </c>
      <c r="J13" s="6">
        <v>730052.0</v>
      </c>
      <c r="K13" s="4">
        <f t="shared" si="3"/>
        <v>-581061</v>
      </c>
      <c r="L13" s="4">
        <f t="shared" ref="L13:M13" si="9">I13</f>
        <v>148991</v>
      </c>
      <c r="M13" s="4">
        <f t="shared" si="9"/>
        <v>730052</v>
      </c>
      <c r="N13" s="4">
        <f t="shared" si="5"/>
        <v>-581061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6"/>
        <v>6</v>
      </c>
      <c r="C14" s="3" t="s">
        <v>26</v>
      </c>
      <c r="D14" s="6">
        <v>2.4320188E9</v>
      </c>
      <c r="E14" s="6">
        <v>1.0360781E7</v>
      </c>
      <c r="F14" s="6">
        <f t="shared" si="2"/>
        <v>2421658019</v>
      </c>
      <c r="G14" s="6">
        <v>2.268011103E9</v>
      </c>
      <c r="H14" s="6">
        <v>15255.0</v>
      </c>
      <c r="I14" s="6">
        <v>6409132.0</v>
      </c>
      <c r="J14" s="6">
        <v>4.6378258E7</v>
      </c>
      <c r="K14" s="4">
        <f t="shared" si="3"/>
        <v>-39969126</v>
      </c>
      <c r="L14" s="4">
        <f t="shared" ref="L14:M14" si="10">I14</f>
        <v>6409132</v>
      </c>
      <c r="M14" s="4">
        <f t="shared" si="10"/>
        <v>46378258</v>
      </c>
      <c r="N14" s="4">
        <f t="shared" si="5"/>
        <v>-39969126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6"/>
        <v>7</v>
      </c>
      <c r="C15" s="3" t="s">
        <v>27</v>
      </c>
      <c r="D15" s="6">
        <v>6.6587822E7</v>
      </c>
      <c r="E15" s="6">
        <v>335772.0</v>
      </c>
      <c r="F15" s="6">
        <f t="shared" si="2"/>
        <v>66252050</v>
      </c>
      <c r="G15" s="6">
        <v>6.5394638E7</v>
      </c>
      <c r="H15" s="6">
        <v>506.0</v>
      </c>
      <c r="I15" s="6">
        <v>313220.0</v>
      </c>
      <c r="J15" s="6">
        <v>114913.0</v>
      </c>
      <c r="K15" s="4">
        <f t="shared" si="3"/>
        <v>198307</v>
      </c>
      <c r="L15" s="4">
        <f t="shared" ref="L15:M15" si="11">I15</f>
        <v>313220</v>
      </c>
      <c r="M15" s="4">
        <f t="shared" si="11"/>
        <v>114913</v>
      </c>
      <c r="N15" s="4">
        <f t="shared" si="5"/>
        <v>198307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6"/>
        <v>8</v>
      </c>
      <c r="C16" s="3" t="s">
        <v>28</v>
      </c>
      <c r="D16" s="6">
        <v>2.2990822E7</v>
      </c>
      <c r="E16" s="6">
        <v>783768.0</v>
      </c>
      <c r="F16" s="6">
        <f t="shared" si="2"/>
        <v>22207054</v>
      </c>
      <c r="G16" s="6">
        <v>1.9955895E7</v>
      </c>
      <c r="H16" s="6">
        <v>35.0</v>
      </c>
      <c r="I16" s="6">
        <v>0.0</v>
      </c>
      <c r="J16" s="6">
        <v>0.0</v>
      </c>
      <c r="K16" s="4">
        <f t="shared" si="3"/>
        <v>0</v>
      </c>
      <c r="L16" s="4">
        <f t="shared" ref="L16:M16" si="12">I16</f>
        <v>0</v>
      </c>
      <c r="M16" s="4">
        <f t="shared" si="12"/>
        <v>0</v>
      </c>
      <c r="N16" s="4">
        <f t="shared" si="5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6"/>
        <v>9</v>
      </c>
      <c r="C17" s="3" t="s">
        <v>29</v>
      </c>
      <c r="D17" s="6">
        <v>9.3306146E8</v>
      </c>
      <c r="E17" s="6">
        <v>3.8516684E7</v>
      </c>
      <c r="F17" s="6">
        <f t="shared" si="2"/>
        <v>894544776</v>
      </c>
      <c r="G17" s="6">
        <v>9.06635245E8</v>
      </c>
      <c r="H17" s="6">
        <v>10441.0</v>
      </c>
      <c r="I17" s="6">
        <v>0.0</v>
      </c>
      <c r="J17" s="6">
        <v>1.5347736E7</v>
      </c>
      <c r="K17" s="4">
        <f t="shared" si="3"/>
        <v>-15347736</v>
      </c>
      <c r="L17" s="4">
        <f t="shared" ref="L17:M17" si="13">I17</f>
        <v>0</v>
      </c>
      <c r="M17" s="4">
        <f t="shared" si="13"/>
        <v>15347736</v>
      </c>
      <c r="N17" s="4">
        <f t="shared" si="5"/>
        <v>-15347736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6"/>
        <v>10</v>
      </c>
      <c r="C18" s="3" t="s">
        <v>30</v>
      </c>
      <c r="D18" s="6">
        <v>2.860346569E9</v>
      </c>
      <c r="E18" s="6">
        <v>2.4485246E7</v>
      </c>
      <c r="F18" s="6">
        <f t="shared" si="2"/>
        <v>2835861323</v>
      </c>
      <c r="G18" s="6">
        <v>2.784641521E9</v>
      </c>
      <c r="H18" s="6">
        <v>9921.0</v>
      </c>
      <c r="I18" s="6">
        <v>0.0</v>
      </c>
      <c r="J18" s="6">
        <v>2.4094015E7</v>
      </c>
      <c r="K18" s="4">
        <f t="shared" si="3"/>
        <v>-24094015</v>
      </c>
      <c r="L18" s="4">
        <f t="shared" ref="L18:M18" si="14">I18</f>
        <v>0</v>
      </c>
      <c r="M18" s="4">
        <f t="shared" si="14"/>
        <v>24094015</v>
      </c>
      <c r="N18" s="4">
        <f t="shared" si="5"/>
        <v>-24094015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6"/>
        <v>11</v>
      </c>
      <c r="C19" s="3" t="s">
        <v>31</v>
      </c>
      <c r="D19" s="6">
        <v>2.64159323016E9</v>
      </c>
      <c r="E19" s="6">
        <v>1.260763733E7</v>
      </c>
      <c r="F19" s="6">
        <f t="shared" si="2"/>
        <v>2628985593</v>
      </c>
      <c r="G19" s="6">
        <v>2.3965595505E9</v>
      </c>
      <c r="H19" s="6">
        <v>5131.0</v>
      </c>
      <c r="I19" s="6">
        <v>2.126366738E7</v>
      </c>
      <c r="J19" s="6">
        <v>4.578533712E7</v>
      </c>
      <c r="K19" s="4">
        <f t="shared" si="3"/>
        <v>-24521669.74</v>
      </c>
      <c r="L19" s="4">
        <f t="shared" ref="L19:M19" si="15">I19</f>
        <v>21263667.38</v>
      </c>
      <c r="M19" s="4">
        <f t="shared" si="15"/>
        <v>45785337.12</v>
      </c>
      <c r="N19" s="4">
        <f t="shared" si="5"/>
        <v>-24521669.74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6"/>
        <v>12</v>
      </c>
      <c r="C20" s="3" t="s">
        <v>32</v>
      </c>
      <c r="D20" s="6">
        <v>8.29348297163E9</v>
      </c>
      <c r="E20" s="6">
        <v>3.313092634E7</v>
      </c>
      <c r="F20" s="6">
        <f t="shared" si="2"/>
        <v>8260352045</v>
      </c>
      <c r="G20" s="6">
        <v>7.9557918288E9</v>
      </c>
      <c r="H20" s="6">
        <v>30275.0</v>
      </c>
      <c r="I20" s="6">
        <v>1.028523299E7</v>
      </c>
      <c r="J20" s="6">
        <v>8.247508573E7</v>
      </c>
      <c r="K20" s="4">
        <f t="shared" si="3"/>
        <v>-72189852.74</v>
      </c>
      <c r="L20" s="4">
        <f t="shared" ref="L20:M20" si="16">I20</f>
        <v>10285232.99</v>
      </c>
      <c r="M20" s="4">
        <f t="shared" si="16"/>
        <v>82475085.73</v>
      </c>
      <c r="N20" s="4">
        <f t="shared" si="5"/>
        <v>-72189852.74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6"/>
        <v>13</v>
      </c>
      <c r="C21" s="3" t="s">
        <v>33</v>
      </c>
      <c r="D21" s="6">
        <v>3.2162002305E8</v>
      </c>
      <c r="E21" s="6">
        <v>1091529.83</v>
      </c>
      <c r="F21" s="6">
        <f t="shared" si="2"/>
        <v>320528493.2</v>
      </c>
      <c r="G21" s="6">
        <v>3.2003942638E8</v>
      </c>
      <c r="H21" s="6">
        <v>861.0</v>
      </c>
      <c r="I21" s="6">
        <v>285074.58</v>
      </c>
      <c r="J21" s="6">
        <v>2593679.03</v>
      </c>
      <c r="K21" s="4">
        <f t="shared" si="3"/>
        <v>-2308604.45</v>
      </c>
      <c r="L21" s="4">
        <f t="shared" ref="L21:M21" si="17">I21</f>
        <v>285074.58</v>
      </c>
      <c r="M21" s="4">
        <f t="shared" si="17"/>
        <v>2593679.03</v>
      </c>
      <c r="N21" s="4">
        <f t="shared" si="5"/>
        <v>-2308604.45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6"/>
        <v>14</v>
      </c>
      <c r="C22" s="3" t="s">
        <v>34</v>
      </c>
      <c r="D22" s="6">
        <v>3.19797916871E9</v>
      </c>
      <c r="E22" s="6">
        <v>3.076382002E7</v>
      </c>
      <c r="F22" s="6">
        <f t="shared" si="2"/>
        <v>3167215349</v>
      </c>
      <c r="G22" s="6">
        <v>3.1469265227E9</v>
      </c>
      <c r="H22" s="6">
        <v>21420.0</v>
      </c>
      <c r="I22" s="6">
        <v>3283703.79</v>
      </c>
      <c r="J22" s="6">
        <v>2.0098488845E8</v>
      </c>
      <c r="K22" s="4">
        <f t="shared" si="3"/>
        <v>-197701184.7</v>
      </c>
      <c r="L22" s="4">
        <f t="shared" ref="L22:M22" si="18">I22</f>
        <v>3283703.79</v>
      </c>
      <c r="M22" s="4">
        <f t="shared" si="18"/>
        <v>200984888.5</v>
      </c>
      <c r="N22" s="4">
        <f t="shared" si="5"/>
        <v>-197701184.7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6"/>
        <v>15</v>
      </c>
      <c r="C23" s="3" t="s">
        <v>35</v>
      </c>
      <c r="D23" s="6">
        <v>5.437946849E9</v>
      </c>
      <c r="E23" s="6">
        <v>1.02204226E8</v>
      </c>
      <c r="F23" s="6">
        <f t="shared" si="2"/>
        <v>5335742623</v>
      </c>
      <c r="G23" s="6">
        <v>5.285820402E9</v>
      </c>
      <c r="H23" s="6">
        <v>11452.0</v>
      </c>
      <c r="I23" s="6">
        <v>2525641.0</v>
      </c>
      <c r="J23" s="6">
        <v>7.0147426E7</v>
      </c>
      <c r="K23" s="4">
        <f t="shared" si="3"/>
        <v>-67621785</v>
      </c>
      <c r="L23" s="4">
        <f t="shared" ref="L23:M23" si="19">I23</f>
        <v>2525641</v>
      </c>
      <c r="M23" s="4">
        <f t="shared" si="19"/>
        <v>70147426</v>
      </c>
      <c r="N23" s="4">
        <f t="shared" si="5"/>
        <v>-67621785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6"/>
        <v>16</v>
      </c>
      <c r="C24" s="21" t="s">
        <v>36</v>
      </c>
      <c r="D24" s="6">
        <v>3.67401135027E9</v>
      </c>
      <c r="E24" s="6">
        <v>2.539140952E7</v>
      </c>
      <c r="F24" s="6">
        <f t="shared" si="2"/>
        <v>3648619941</v>
      </c>
      <c r="G24" s="6">
        <v>3.4212838171E9</v>
      </c>
      <c r="H24" s="6">
        <v>11646.0</v>
      </c>
      <c r="I24" s="6">
        <v>262652.86</v>
      </c>
      <c r="J24" s="6">
        <v>2822179.3</v>
      </c>
      <c r="K24" s="4">
        <f t="shared" si="3"/>
        <v>-2559526.44</v>
      </c>
      <c r="L24" s="4">
        <f t="shared" ref="L24:M24" si="20">I24</f>
        <v>262652.86</v>
      </c>
      <c r="M24" s="4">
        <f t="shared" si="20"/>
        <v>2822179.3</v>
      </c>
      <c r="N24" s="4">
        <f t="shared" si="5"/>
        <v>-2559526.44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6"/>
        <v>17</v>
      </c>
      <c r="C25" s="23" t="s">
        <v>37</v>
      </c>
      <c r="D25" s="6">
        <v>4.441509276E9</v>
      </c>
      <c r="E25" s="6">
        <v>4.6267272E7</v>
      </c>
      <c r="F25" s="6">
        <f t="shared" si="2"/>
        <v>4395242004</v>
      </c>
      <c r="G25" s="6">
        <v>4.181193085E9</v>
      </c>
      <c r="H25" s="6">
        <v>67480.0</v>
      </c>
      <c r="I25" s="6">
        <v>1.351213E7</v>
      </c>
      <c r="J25" s="6">
        <v>1.32888428E8</v>
      </c>
      <c r="K25" s="4">
        <f t="shared" si="3"/>
        <v>-119376298</v>
      </c>
      <c r="L25" s="4">
        <f t="shared" ref="L25:M25" si="21">I25</f>
        <v>13512130</v>
      </c>
      <c r="M25" s="4">
        <f t="shared" si="21"/>
        <v>132888428</v>
      </c>
      <c r="N25" s="4">
        <f t="shared" si="5"/>
        <v>-119376298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6"/>
        <v>18</v>
      </c>
      <c r="C26" s="23" t="s">
        <v>38</v>
      </c>
      <c r="D26" s="6">
        <v>7.304921597E9</v>
      </c>
      <c r="E26" s="6">
        <v>1.40900888E8</v>
      </c>
      <c r="F26" s="6">
        <f t="shared" si="2"/>
        <v>7164020709</v>
      </c>
      <c r="G26" s="6">
        <v>7.132674138E9</v>
      </c>
      <c r="H26" s="6">
        <v>58512.0</v>
      </c>
      <c r="I26" s="6">
        <v>1.4482884E7</v>
      </c>
      <c r="J26" s="6">
        <v>2.45341106E8</v>
      </c>
      <c r="K26" s="4">
        <f t="shared" si="3"/>
        <v>-230858222</v>
      </c>
      <c r="L26" s="4">
        <f t="shared" ref="L26:M26" si="22">I26</f>
        <v>14482884</v>
      </c>
      <c r="M26" s="4">
        <f t="shared" si="22"/>
        <v>245341106</v>
      </c>
      <c r="N26" s="4">
        <f t="shared" si="5"/>
        <v>-230858222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6"/>
        <v>19</v>
      </c>
      <c r="C27" s="3" t="s">
        <v>39</v>
      </c>
      <c r="D27" s="6">
        <v>5.795353572E8</v>
      </c>
      <c r="E27" s="6">
        <v>2.557970094E7</v>
      </c>
      <c r="F27" s="6">
        <f t="shared" si="2"/>
        <v>553955656.3</v>
      </c>
      <c r="G27" s="6">
        <v>5.195637224E8</v>
      </c>
      <c r="H27" s="6">
        <v>1170.0</v>
      </c>
      <c r="I27" s="6">
        <v>285318.86</v>
      </c>
      <c r="J27" s="6">
        <v>470423.67</v>
      </c>
      <c r="K27" s="4">
        <f t="shared" si="3"/>
        <v>-185104.81</v>
      </c>
      <c r="L27" s="4">
        <f t="shared" ref="L27:M27" si="23">I27</f>
        <v>285318.86</v>
      </c>
      <c r="M27" s="4">
        <f t="shared" si="23"/>
        <v>470423.67</v>
      </c>
      <c r="N27" s="4">
        <f t="shared" si="5"/>
        <v>-185104.81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0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0"/>
      <c r="B29" s="2">
        <f>1+B27</f>
        <v>20</v>
      </c>
      <c r="C29" s="3" t="s">
        <v>41</v>
      </c>
      <c r="D29" s="6">
        <v>2.5048851949E8</v>
      </c>
      <c r="E29" s="6">
        <v>1360125.79</v>
      </c>
      <c r="F29" s="6">
        <f t="shared" ref="F29:F32" si="25">D29-E29</f>
        <v>249128393.7</v>
      </c>
      <c r="G29" s="6">
        <v>2.4678681258E8</v>
      </c>
      <c r="H29" s="6">
        <v>5154.0</v>
      </c>
      <c r="I29" s="6">
        <v>6178380.43</v>
      </c>
      <c r="J29" s="6">
        <v>3.004103406E7</v>
      </c>
      <c r="K29" s="4">
        <f t="shared" ref="K29:K32" si="26">I29-J29</f>
        <v>-23862653.63</v>
      </c>
      <c r="L29" s="4">
        <f t="shared" ref="L29:M29" si="24">I29</f>
        <v>6178380.43</v>
      </c>
      <c r="M29" s="4">
        <f t="shared" si="24"/>
        <v>30041034.06</v>
      </c>
      <c r="N29" s="4">
        <f t="shared" ref="N29:N32" si="28">L29-M29</f>
        <v>-23862653.63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0"/>
      <c r="B30" s="2">
        <f t="shared" ref="B30:B32" si="29">1+B29</f>
        <v>21</v>
      </c>
      <c r="C30" s="3" t="s">
        <v>42</v>
      </c>
      <c r="D30" s="6">
        <v>3.2727454309E8</v>
      </c>
      <c r="E30" s="6">
        <v>3848075.72</v>
      </c>
      <c r="F30" s="6">
        <f t="shared" si="25"/>
        <v>323426467.4</v>
      </c>
      <c r="G30" s="6">
        <v>2.146310025E8</v>
      </c>
      <c r="H30" s="6">
        <v>8382.0</v>
      </c>
      <c r="I30" s="6">
        <v>4896023.64</v>
      </c>
      <c r="J30" s="6">
        <v>4.799678479E7</v>
      </c>
      <c r="K30" s="4">
        <f t="shared" si="26"/>
        <v>-43100761.15</v>
      </c>
      <c r="L30" s="4">
        <f t="shared" ref="L30:M30" si="27">I30</f>
        <v>4896023.64</v>
      </c>
      <c r="M30" s="4">
        <f t="shared" si="27"/>
        <v>47996784.79</v>
      </c>
      <c r="N30" s="4">
        <f t="shared" si="28"/>
        <v>-43100761.15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29"/>
        <v>22</v>
      </c>
      <c r="C31" s="3" t="s">
        <v>43</v>
      </c>
      <c r="D31" s="6">
        <v>2.1586259663E8</v>
      </c>
      <c r="E31" s="6">
        <v>5582137.14</v>
      </c>
      <c r="F31" s="6">
        <f t="shared" si="25"/>
        <v>210280459.5</v>
      </c>
      <c r="G31" s="6">
        <v>2.0467062946E8</v>
      </c>
      <c r="H31" s="6">
        <v>1054.0</v>
      </c>
      <c r="I31" s="6">
        <v>146509.33</v>
      </c>
      <c r="J31" s="6">
        <v>2753696.94</v>
      </c>
      <c r="K31" s="4">
        <f t="shared" si="26"/>
        <v>-2607187.61</v>
      </c>
      <c r="L31" s="4">
        <f t="shared" ref="L31:M31" si="30">I31</f>
        <v>146509.33</v>
      </c>
      <c r="M31" s="4">
        <f t="shared" si="30"/>
        <v>2753696.94</v>
      </c>
      <c r="N31" s="4">
        <f t="shared" si="28"/>
        <v>-2607187.61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29"/>
        <v>23</v>
      </c>
      <c r="C32" s="3" t="s">
        <v>35</v>
      </c>
      <c r="D32" s="6">
        <v>5.4697296E8</v>
      </c>
      <c r="E32" s="6">
        <v>1.0112326E7</v>
      </c>
      <c r="F32" s="6">
        <f t="shared" si="25"/>
        <v>536860634</v>
      </c>
      <c r="G32" s="6">
        <v>5.29827579E8</v>
      </c>
      <c r="H32" s="6">
        <v>795947.0</v>
      </c>
      <c r="I32" s="6">
        <v>8712309.0</v>
      </c>
      <c r="J32" s="6">
        <v>7.7321355E7</v>
      </c>
      <c r="K32" s="4">
        <f t="shared" si="26"/>
        <v>-68609046</v>
      </c>
      <c r="L32" s="4">
        <f t="shared" ref="L32:M32" si="31">I32</f>
        <v>8712309</v>
      </c>
      <c r="M32" s="4">
        <f t="shared" si="31"/>
        <v>77321355</v>
      </c>
      <c r="N32" s="4">
        <f t="shared" si="28"/>
        <v>-68609046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0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1.341582675E9</v>
      </c>
      <c r="E34" s="6">
        <v>2136945.0</v>
      </c>
      <c r="F34" s="6">
        <f>D34-E34</f>
        <v>1339445730</v>
      </c>
      <c r="G34" s="6">
        <v>1.338437592E9</v>
      </c>
      <c r="H34" s="6">
        <v>3263.0</v>
      </c>
      <c r="I34" s="6">
        <v>0.0</v>
      </c>
      <c r="J34" s="6">
        <v>2.8553361E7</v>
      </c>
      <c r="K34" s="4">
        <f>I34-J34</f>
        <v>-28553361</v>
      </c>
      <c r="L34" s="4">
        <f t="shared" ref="L34:M34" si="32">I34</f>
        <v>0</v>
      </c>
      <c r="M34" s="4">
        <f t="shared" si="32"/>
        <v>28553361</v>
      </c>
      <c r="N34" s="4">
        <f>L34-M34</f>
        <v>-28553361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46</v>
      </c>
      <c r="B35" s="25"/>
      <c r="C35" s="1"/>
      <c r="D35" s="26">
        <f t="shared" ref="D35:N35" si="33">SUM(D9:D34)</f>
        <v>51317428461</v>
      </c>
      <c r="E35" s="26">
        <f t="shared" si="33"/>
        <v>589365430.2</v>
      </c>
      <c r="F35" s="26">
        <f t="shared" si="33"/>
        <v>50728063030</v>
      </c>
      <c r="G35" s="26">
        <f t="shared" si="33"/>
        <v>48750469713</v>
      </c>
      <c r="H35" s="27">
        <f t="shared" si="33"/>
        <v>1072637</v>
      </c>
      <c r="I35" s="26">
        <f t="shared" si="33"/>
        <v>112820180.4</v>
      </c>
      <c r="J35" s="26">
        <f t="shared" si="33"/>
        <v>1257421872</v>
      </c>
      <c r="K35" s="26">
        <f t="shared" si="33"/>
        <v>-1144601691</v>
      </c>
      <c r="L35" s="26">
        <f t="shared" si="33"/>
        <v>112820180.4</v>
      </c>
      <c r="M35" s="26">
        <f t="shared" si="33"/>
        <v>1257421872</v>
      </c>
      <c r="N35" s="26">
        <f t="shared" si="33"/>
        <v>-1144601691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0" t="s">
        <v>47</v>
      </c>
      <c r="B36" s="2"/>
      <c r="C36" s="3"/>
      <c r="D36" s="6"/>
      <c r="E36" s="6"/>
      <c r="F36" s="6"/>
      <c r="G36" s="6"/>
      <c r="H36" s="28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2.871205397E7</v>
      </c>
      <c r="E37" s="6">
        <v>239289.44</v>
      </c>
      <c r="F37" s="6">
        <f t="shared" ref="F37:F38" si="35">D37-E37</f>
        <v>28472764.53</v>
      </c>
      <c r="G37" s="6">
        <v>0.0</v>
      </c>
      <c r="H37" s="28">
        <v>44.0</v>
      </c>
      <c r="I37" s="6">
        <v>11731.39</v>
      </c>
      <c r="J37" s="6">
        <v>4556127.17</v>
      </c>
      <c r="K37" s="4">
        <f t="shared" ref="K37:K38" si="36">I37-J37</f>
        <v>-4544395.78</v>
      </c>
      <c r="L37" s="4">
        <f t="shared" ref="L37:M37" si="34">I37</f>
        <v>11731.39</v>
      </c>
      <c r="M37" s="4">
        <f t="shared" si="34"/>
        <v>4556127.17</v>
      </c>
      <c r="N37" s="4">
        <f t="shared" ref="N37:N38" si="38">L37-M37</f>
        <v>-4544395.78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2.454518648E9</v>
      </c>
      <c r="E38" s="6">
        <v>1.14033147E8</v>
      </c>
      <c r="F38" s="6">
        <f t="shared" si="35"/>
        <v>2340485501</v>
      </c>
      <c r="G38" s="6">
        <v>0.0</v>
      </c>
      <c r="H38" s="28">
        <v>3342.0</v>
      </c>
      <c r="I38" s="6">
        <v>1.19246734E8</v>
      </c>
      <c r="J38" s="6">
        <v>4.1066033E7</v>
      </c>
      <c r="K38" s="4">
        <f t="shared" si="36"/>
        <v>78180701</v>
      </c>
      <c r="L38" s="4">
        <f t="shared" ref="L38:M38" si="37">I38</f>
        <v>119246734</v>
      </c>
      <c r="M38" s="4">
        <f t="shared" si="37"/>
        <v>41066033</v>
      </c>
      <c r="N38" s="4">
        <f t="shared" si="38"/>
        <v>78180701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4" t="s">
        <v>50</v>
      </c>
      <c r="B39" s="25"/>
      <c r="C39" s="1"/>
      <c r="D39" s="26">
        <f t="shared" ref="D39:N39" si="39">SUM(D37:D38)</f>
        <v>2483230702</v>
      </c>
      <c r="E39" s="26">
        <f t="shared" si="39"/>
        <v>114272436.4</v>
      </c>
      <c r="F39" s="26">
        <f t="shared" si="39"/>
        <v>2368958266</v>
      </c>
      <c r="G39" s="26">
        <f t="shared" si="39"/>
        <v>0</v>
      </c>
      <c r="H39" s="29">
        <f t="shared" si="39"/>
        <v>3386</v>
      </c>
      <c r="I39" s="26">
        <f t="shared" si="39"/>
        <v>119258465.4</v>
      </c>
      <c r="J39" s="26">
        <f t="shared" si="39"/>
        <v>45622160.17</v>
      </c>
      <c r="K39" s="26">
        <f t="shared" si="39"/>
        <v>73636305.22</v>
      </c>
      <c r="L39" s="26">
        <f t="shared" si="39"/>
        <v>119258465.4</v>
      </c>
      <c r="M39" s="26">
        <f t="shared" si="39"/>
        <v>45622160.17</v>
      </c>
      <c r="N39" s="26">
        <f t="shared" si="39"/>
        <v>73636305.22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5"/>
      <c r="C40" s="1"/>
      <c r="D40" s="26">
        <f t="shared" ref="D40:N40" si="40">D35+D39</f>
        <v>53800659163</v>
      </c>
      <c r="E40" s="26">
        <f t="shared" si="40"/>
        <v>703637866.7</v>
      </c>
      <c r="F40" s="26">
        <f t="shared" si="40"/>
        <v>53097021296</v>
      </c>
      <c r="G40" s="26">
        <f t="shared" si="40"/>
        <v>48750469713</v>
      </c>
      <c r="H40" s="29">
        <f t="shared" si="40"/>
        <v>1076023</v>
      </c>
      <c r="I40" s="26">
        <f t="shared" si="40"/>
        <v>232078645.8</v>
      </c>
      <c r="J40" s="26">
        <f t="shared" si="40"/>
        <v>1303044032</v>
      </c>
      <c r="K40" s="26">
        <f t="shared" si="40"/>
        <v>-1070965386</v>
      </c>
      <c r="L40" s="26">
        <f t="shared" si="40"/>
        <v>232078645.8</v>
      </c>
      <c r="M40" s="26">
        <f t="shared" si="40"/>
        <v>1303044032</v>
      </c>
      <c r="N40" s="26">
        <f t="shared" si="40"/>
        <v>-1070965386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0"/>
      <c r="E41" s="30"/>
      <c r="F41" s="30"/>
      <c r="G41" s="30"/>
      <c r="H41" s="31"/>
      <c r="I41" s="30"/>
      <c r="J41" s="30"/>
      <c r="K41" s="30"/>
      <c r="L41" s="30"/>
      <c r="M41" s="30"/>
      <c r="N41" s="3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0" t="s">
        <v>20</v>
      </c>
      <c r="B42" s="2"/>
      <c r="C42" s="3"/>
      <c r="D42" s="6"/>
      <c r="E42" s="6"/>
      <c r="F42" s="6"/>
      <c r="G42" s="6"/>
      <c r="H42" s="32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4.1411202227E8</v>
      </c>
      <c r="E43" s="4">
        <v>2.169896879E7</v>
      </c>
      <c r="F43" s="6">
        <f t="shared" ref="F43:F52" si="42">D43-E43</f>
        <v>392413053.5</v>
      </c>
      <c r="G43" s="6">
        <v>1.9453810755E8</v>
      </c>
      <c r="H43" s="28">
        <v>2316.0</v>
      </c>
      <c r="I43" s="6">
        <v>488299.81</v>
      </c>
      <c r="J43" s="6">
        <v>4979089.02</v>
      </c>
      <c r="K43" s="4">
        <f t="shared" ref="K43:K52" si="43">I43-J43</f>
        <v>-4490789.21</v>
      </c>
      <c r="L43" s="4">
        <f t="shared" ref="L43:M43" si="41">I43</f>
        <v>488299.81</v>
      </c>
      <c r="M43" s="4">
        <f t="shared" si="41"/>
        <v>4979089.02</v>
      </c>
      <c r="N43" s="4">
        <f t="shared" ref="N43:N52" si="45">L43-M43</f>
        <v>-4490789.21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46">1+B43</f>
        <v>28</v>
      </c>
      <c r="C44" s="3" t="s">
        <v>54</v>
      </c>
      <c r="D44" s="6">
        <v>1.2118598071E8</v>
      </c>
      <c r="E44" s="4">
        <v>3503422.81</v>
      </c>
      <c r="F44" s="6">
        <f t="shared" si="42"/>
        <v>117682557.9</v>
      </c>
      <c r="G44" s="6">
        <v>2.8732505E7</v>
      </c>
      <c r="H44" s="28">
        <v>862.0</v>
      </c>
      <c r="I44" s="6">
        <v>631898.87</v>
      </c>
      <c r="J44" s="6">
        <v>1675298.62</v>
      </c>
      <c r="K44" s="4">
        <f t="shared" si="43"/>
        <v>-1043399.75</v>
      </c>
      <c r="L44" s="4">
        <f t="shared" ref="L44:M44" si="44">I44</f>
        <v>631898.87</v>
      </c>
      <c r="M44" s="4">
        <f t="shared" si="44"/>
        <v>1675298.62</v>
      </c>
      <c r="N44" s="4">
        <f t="shared" si="45"/>
        <v>-1043399.75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46"/>
        <v>29</v>
      </c>
      <c r="C45" s="3" t="s">
        <v>55</v>
      </c>
      <c r="D45" s="6">
        <v>5.81092411E8</v>
      </c>
      <c r="E45" s="4">
        <v>1.2434266E7</v>
      </c>
      <c r="F45" s="6">
        <f t="shared" si="42"/>
        <v>568658145</v>
      </c>
      <c r="G45" s="6">
        <v>2.76274116E8</v>
      </c>
      <c r="H45" s="28">
        <v>4546.0</v>
      </c>
      <c r="I45" s="6">
        <v>550899.0</v>
      </c>
      <c r="J45" s="6">
        <v>8263014.0</v>
      </c>
      <c r="K45" s="4">
        <f t="shared" si="43"/>
        <v>-7712115</v>
      </c>
      <c r="L45" s="4">
        <f t="shared" ref="L45:M45" si="47">I45</f>
        <v>550899</v>
      </c>
      <c r="M45" s="4">
        <f t="shared" si="47"/>
        <v>8263014</v>
      </c>
      <c r="N45" s="4">
        <f t="shared" si="45"/>
        <v>-7712115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46"/>
        <v>30</v>
      </c>
      <c r="C46" s="3" t="s">
        <v>56</v>
      </c>
      <c r="D46" s="6">
        <v>5.20482012E8</v>
      </c>
      <c r="E46" s="4">
        <v>5.9905593E7</v>
      </c>
      <c r="F46" s="6">
        <f t="shared" si="42"/>
        <v>460576419</v>
      </c>
      <c r="G46" s="6">
        <v>3.20545981E8</v>
      </c>
      <c r="H46" s="28">
        <v>542.0</v>
      </c>
      <c r="I46" s="6">
        <v>6180698.0</v>
      </c>
      <c r="J46" s="6">
        <v>1547131.0</v>
      </c>
      <c r="K46" s="4">
        <f t="shared" si="43"/>
        <v>4633567</v>
      </c>
      <c r="L46" s="4">
        <f t="shared" ref="L46:M46" si="48">I46</f>
        <v>6180698</v>
      </c>
      <c r="M46" s="4">
        <f t="shared" si="48"/>
        <v>1547131</v>
      </c>
      <c r="N46" s="4">
        <f t="shared" si="45"/>
        <v>4633567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46"/>
        <v>31</v>
      </c>
      <c r="C47" s="3" t="s">
        <v>57</v>
      </c>
      <c r="D47" s="6">
        <v>3.2846508E8</v>
      </c>
      <c r="E47" s="4">
        <v>1790936.0</v>
      </c>
      <c r="F47" s="6">
        <f t="shared" si="42"/>
        <v>326674144</v>
      </c>
      <c r="G47" s="6">
        <v>1.63653423E8</v>
      </c>
      <c r="H47" s="28">
        <v>45.0</v>
      </c>
      <c r="I47" s="6">
        <v>0.0</v>
      </c>
      <c r="J47" s="6">
        <v>0.0</v>
      </c>
      <c r="K47" s="4">
        <f t="shared" si="43"/>
        <v>0</v>
      </c>
      <c r="L47" s="4">
        <f t="shared" ref="L47:M47" si="49">I47</f>
        <v>0</v>
      </c>
      <c r="M47" s="4">
        <f t="shared" si="49"/>
        <v>0</v>
      </c>
      <c r="N47" s="4">
        <f t="shared" si="45"/>
        <v>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46"/>
        <v>32</v>
      </c>
      <c r="C48" s="3" t="s">
        <v>58</v>
      </c>
      <c r="D48" s="6">
        <v>4.06824799E8</v>
      </c>
      <c r="E48" s="4">
        <v>2652298.0</v>
      </c>
      <c r="F48" s="6">
        <f t="shared" si="42"/>
        <v>404172501</v>
      </c>
      <c r="G48" s="6">
        <v>2.03061392E8</v>
      </c>
      <c r="H48" s="28">
        <v>9385.0</v>
      </c>
      <c r="I48" s="6">
        <v>34010.0</v>
      </c>
      <c r="J48" s="6">
        <v>2247949.0</v>
      </c>
      <c r="K48" s="4">
        <f t="shared" si="43"/>
        <v>-2213939</v>
      </c>
      <c r="L48" s="4">
        <f t="shared" ref="L48:M48" si="50">I48</f>
        <v>34010</v>
      </c>
      <c r="M48" s="4">
        <f t="shared" si="50"/>
        <v>2247949</v>
      </c>
      <c r="N48" s="4">
        <f t="shared" si="45"/>
        <v>-2213939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46"/>
        <v>33</v>
      </c>
      <c r="C49" s="3" t="s">
        <v>59</v>
      </c>
      <c r="D49" s="6">
        <v>1.704080271E9</v>
      </c>
      <c r="E49" s="4">
        <v>1.2941025E7</v>
      </c>
      <c r="F49" s="6">
        <f t="shared" si="42"/>
        <v>1691139246</v>
      </c>
      <c r="G49" s="6">
        <v>8.59953332E8</v>
      </c>
      <c r="H49" s="28">
        <v>6641.0</v>
      </c>
      <c r="I49" s="6">
        <v>326925.0</v>
      </c>
      <c r="J49" s="6">
        <v>1.1967103E7</v>
      </c>
      <c r="K49" s="4">
        <f t="shared" si="43"/>
        <v>-11640178</v>
      </c>
      <c r="L49" s="4">
        <f t="shared" ref="L49:M49" si="51">I49</f>
        <v>326925</v>
      </c>
      <c r="M49" s="4">
        <f t="shared" si="51"/>
        <v>11967103</v>
      </c>
      <c r="N49" s="4">
        <f t="shared" si="45"/>
        <v>-11640178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0"/>
      <c r="B50" s="2">
        <f t="shared" si="46"/>
        <v>34</v>
      </c>
      <c r="C50" s="3" t="s">
        <v>60</v>
      </c>
      <c r="D50" s="6">
        <v>1.17773917E8</v>
      </c>
      <c r="E50" s="4">
        <v>157439.0</v>
      </c>
      <c r="F50" s="6">
        <f t="shared" si="42"/>
        <v>117616478</v>
      </c>
      <c r="G50" s="6">
        <v>5.997132E7</v>
      </c>
      <c r="H50" s="28">
        <v>152.0</v>
      </c>
      <c r="I50" s="6">
        <v>0.0</v>
      </c>
      <c r="J50" s="6">
        <v>513714.0</v>
      </c>
      <c r="K50" s="4">
        <f t="shared" si="43"/>
        <v>-513714</v>
      </c>
      <c r="L50" s="4">
        <f t="shared" ref="L50:M50" si="52">I50</f>
        <v>0</v>
      </c>
      <c r="M50" s="4">
        <f t="shared" si="52"/>
        <v>513714</v>
      </c>
      <c r="N50" s="4">
        <f t="shared" si="45"/>
        <v>-513714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46"/>
        <v>35</v>
      </c>
      <c r="C51" s="3" t="s">
        <v>61</v>
      </c>
      <c r="D51" s="6">
        <v>4.955647949E9</v>
      </c>
      <c r="E51" s="4">
        <v>4.3515922E7</v>
      </c>
      <c r="F51" s="6">
        <f t="shared" si="42"/>
        <v>4912132027</v>
      </c>
      <c r="G51" s="6">
        <v>2.443248545E9</v>
      </c>
      <c r="H51" s="28">
        <v>54819.0</v>
      </c>
      <c r="I51" s="6">
        <v>4575893.0</v>
      </c>
      <c r="J51" s="6">
        <v>7.0248636E7</v>
      </c>
      <c r="K51" s="4">
        <f t="shared" si="43"/>
        <v>-65672743</v>
      </c>
      <c r="L51" s="4">
        <f t="shared" ref="L51:M51" si="53">I51</f>
        <v>4575893</v>
      </c>
      <c r="M51" s="4">
        <f t="shared" si="53"/>
        <v>70248636</v>
      </c>
      <c r="N51" s="4">
        <f t="shared" si="45"/>
        <v>-65672743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46"/>
        <v>36</v>
      </c>
      <c r="C52" s="3" t="s">
        <v>62</v>
      </c>
      <c r="D52" s="6">
        <v>4.48851259E8</v>
      </c>
      <c r="E52" s="4">
        <v>2253048.0</v>
      </c>
      <c r="F52" s="6">
        <f t="shared" si="42"/>
        <v>446598211</v>
      </c>
      <c r="G52" s="6">
        <v>2.29007823E8</v>
      </c>
      <c r="H52" s="28">
        <v>5003.0</v>
      </c>
      <c r="I52" s="6">
        <v>0.0</v>
      </c>
      <c r="J52" s="6">
        <v>1.5350913E7</v>
      </c>
      <c r="K52" s="4">
        <f t="shared" si="43"/>
        <v>-15350913</v>
      </c>
      <c r="L52" s="4">
        <f t="shared" ref="L52:M52" si="54">I52</f>
        <v>0</v>
      </c>
      <c r="M52" s="4">
        <f t="shared" si="54"/>
        <v>15350913</v>
      </c>
      <c r="N52" s="4">
        <f t="shared" si="45"/>
        <v>-15350913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0" t="s">
        <v>40</v>
      </c>
      <c r="B53" s="2"/>
      <c r="C53" s="3"/>
      <c r="D53" s="6"/>
      <c r="E53" s="4"/>
      <c r="F53" s="6"/>
      <c r="G53" s="6"/>
      <c r="H53" s="28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20"/>
      <c r="B54" s="2">
        <f>1+B52</f>
        <v>37</v>
      </c>
      <c r="C54" s="3" t="s">
        <v>63</v>
      </c>
      <c r="D54" s="6">
        <v>9.93355935E8</v>
      </c>
      <c r="E54" s="4">
        <v>2967104.0</v>
      </c>
      <c r="F54" s="6">
        <f t="shared" ref="F54:F57" si="56">D54-E54</f>
        <v>990388831</v>
      </c>
      <c r="G54" s="6">
        <v>7.254546E7</v>
      </c>
      <c r="H54" s="28">
        <v>27070.0</v>
      </c>
      <c r="I54" s="6">
        <v>4.7633372E7</v>
      </c>
      <c r="J54" s="6">
        <v>8185812.0</v>
      </c>
      <c r="K54" s="4">
        <f t="shared" ref="K54:K57" si="57">I54-J54</f>
        <v>39447560</v>
      </c>
      <c r="L54" s="4">
        <f t="shared" ref="L54:M54" si="55">I54</f>
        <v>47633372</v>
      </c>
      <c r="M54" s="4">
        <f t="shared" si="55"/>
        <v>8185812</v>
      </c>
      <c r="N54" s="4">
        <f t="shared" ref="N54:N57" si="59">L54-M54</f>
        <v>39447560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7" si="60">1+B54</f>
        <v>38</v>
      </c>
      <c r="C55" s="3" t="s">
        <v>64</v>
      </c>
      <c r="D55" s="6">
        <v>6.9688276E7</v>
      </c>
      <c r="E55" s="4">
        <v>402716.0</v>
      </c>
      <c r="F55" s="6">
        <f t="shared" si="56"/>
        <v>69285560</v>
      </c>
      <c r="G55" s="6">
        <v>1.0734056E7</v>
      </c>
      <c r="H55" s="28">
        <v>1279.0</v>
      </c>
      <c r="I55" s="6">
        <v>58000.0</v>
      </c>
      <c r="J55" s="6">
        <v>1172903.0</v>
      </c>
      <c r="K55" s="4">
        <f t="shared" si="57"/>
        <v>-1114903</v>
      </c>
      <c r="L55" s="4">
        <f t="shared" ref="L55:M55" si="58">I55</f>
        <v>58000</v>
      </c>
      <c r="M55" s="4">
        <f t="shared" si="58"/>
        <v>1172903</v>
      </c>
      <c r="N55" s="4">
        <f t="shared" si="59"/>
        <v>-1114903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60"/>
        <v>39</v>
      </c>
      <c r="C56" s="3" t="s">
        <v>65</v>
      </c>
      <c r="D56" s="6">
        <v>5.4265949E7</v>
      </c>
      <c r="E56" s="4">
        <v>1360548.0</v>
      </c>
      <c r="F56" s="6">
        <f t="shared" si="56"/>
        <v>52905401</v>
      </c>
      <c r="G56" s="6">
        <v>3.6191329E7</v>
      </c>
      <c r="H56" s="28">
        <v>520.0</v>
      </c>
      <c r="I56" s="6">
        <v>9500.0</v>
      </c>
      <c r="J56" s="6">
        <v>233836.0</v>
      </c>
      <c r="K56" s="4">
        <f t="shared" si="57"/>
        <v>-224336</v>
      </c>
      <c r="L56" s="4">
        <f t="shared" ref="L56:M56" si="61">I56</f>
        <v>9500</v>
      </c>
      <c r="M56" s="4">
        <f t="shared" si="61"/>
        <v>233836</v>
      </c>
      <c r="N56" s="4">
        <f t="shared" si="59"/>
        <v>-224336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3"/>
      <c r="B57" s="2">
        <f t="shared" si="60"/>
        <v>40</v>
      </c>
      <c r="C57" s="3" t="s">
        <v>66</v>
      </c>
      <c r="D57" s="6">
        <v>4.9790476E7</v>
      </c>
      <c r="E57" s="4">
        <v>930281.0</v>
      </c>
      <c r="F57" s="6">
        <f t="shared" si="56"/>
        <v>48860195</v>
      </c>
      <c r="G57" s="6">
        <v>4.0405403E7</v>
      </c>
      <c r="H57" s="28">
        <v>257.0</v>
      </c>
      <c r="I57" s="6">
        <v>16000.0</v>
      </c>
      <c r="J57" s="6">
        <v>210501.0</v>
      </c>
      <c r="K57" s="4">
        <f t="shared" si="57"/>
        <v>-194501</v>
      </c>
      <c r="L57" s="4">
        <f t="shared" ref="L57:M57" si="62">I57</f>
        <v>16000</v>
      </c>
      <c r="M57" s="4">
        <f t="shared" si="62"/>
        <v>210501</v>
      </c>
      <c r="N57" s="4">
        <f t="shared" si="59"/>
        <v>-194501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24" t="s">
        <v>46</v>
      </c>
      <c r="B58" s="24"/>
      <c r="C58" s="1"/>
      <c r="D58" s="26">
        <f t="shared" ref="D58:N58" si="63">SUM(D43:D57)</f>
        <v>10765616337</v>
      </c>
      <c r="E58" s="26">
        <f t="shared" si="63"/>
        <v>166513567.6</v>
      </c>
      <c r="F58" s="26">
        <f t="shared" si="63"/>
        <v>10599102769</v>
      </c>
      <c r="G58" s="26">
        <f t="shared" si="63"/>
        <v>4938862793</v>
      </c>
      <c r="H58" s="26">
        <f t="shared" si="63"/>
        <v>113437</v>
      </c>
      <c r="I58" s="26">
        <f t="shared" si="63"/>
        <v>60505495.68</v>
      </c>
      <c r="J58" s="26">
        <f t="shared" si="63"/>
        <v>126595899.6</v>
      </c>
      <c r="K58" s="26">
        <f t="shared" si="63"/>
        <v>-66090403.96</v>
      </c>
      <c r="L58" s="26">
        <f t="shared" si="63"/>
        <v>60505495.68</v>
      </c>
      <c r="M58" s="26">
        <f t="shared" si="63"/>
        <v>126595899.6</v>
      </c>
      <c r="N58" s="26">
        <f t="shared" si="63"/>
        <v>-66090403.96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2.0" customHeight="1">
      <c r="A59" s="20" t="s">
        <v>47</v>
      </c>
      <c r="B59" s="2"/>
      <c r="C59" s="3"/>
      <c r="D59" s="6"/>
      <c r="E59" s="6"/>
      <c r="F59" s="6"/>
      <c r="G59" s="6"/>
      <c r="H59" s="32"/>
      <c r="I59" s="6"/>
      <c r="J59" s="4"/>
      <c r="K59" s="4"/>
      <c r="L59" s="4"/>
      <c r="M59" s="4"/>
      <c r="N59" s="4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0"/>
      <c r="B60" s="2">
        <f>1+B57</f>
        <v>41</v>
      </c>
      <c r="C60" s="3" t="s">
        <v>67</v>
      </c>
      <c r="D60" s="6">
        <v>7.23990649E7</v>
      </c>
      <c r="E60" s="6">
        <v>348075.67</v>
      </c>
      <c r="F60" s="6">
        <f t="shared" ref="F60:F63" si="65">D60-E60</f>
        <v>72050989.23</v>
      </c>
      <c r="G60" s="6">
        <v>0.0</v>
      </c>
      <c r="H60" s="28">
        <v>48.0</v>
      </c>
      <c r="I60" s="6">
        <v>0.0</v>
      </c>
      <c r="J60" s="6">
        <v>0.0</v>
      </c>
      <c r="K60" s="4">
        <f t="shared" ref="K60:K63" si="66">I60-J60</f>
        <v>0</v>
      </c>
      <c r="L60" s="4">
        <f t="shared" ref="L60:M60" si="64">I60</f>
        <v>0</v>
      </c>
      <c r="M60" s="4">
        <f t="shared" si="64"/>
        <v>0</v>
      </c>
      <c r="N60" s="4">
        <f t="shared" ref="N60:N63" si="68">L60-M60</f>
        <v>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20"/>
      <c r="B61" s="2">
        <f t="shared" ref="B61:B63" si="69">1+B60</f>
        <v>42</v>
      </c>
      <c r="C61" s="3" t="s">
        <v>68</v>
      </c>
      <c r="D61" s="6">
        <v>3.32893652E8</v>
      </c>
      <c r="E61" s="6">
        <v>483975.0</v>
      </c>
      <c r="F61" s="6">
        <f t="shared" si="65"/>
        <v>332409677</v>
      </c>
      <c r="G61" s="6">
        <v>1.76563802E8</v>
      </c>
      <c r="H61" s="28">
        <v>195.0</v>
      </c>
      <c r="I61" s="6">
        <v>0.0</v>
      </c>
      <c r="J61" s="6">
        <v>4162032.0</v>
      </c>
      <c r="K61" s="4">
        <f t="shared" si="66"/>
        <v>-4162032</v>
      </c>
      <c r="L61" s="4">
        <f t="shared" ref="L61:M61" si="67">I61</f>
        <v>0</v>
      </c>
      <c r="M61" s="4">
        <f t="shared" si="67"/>
        <v>4162032</v>
      </c>
      <c r="N61" s="4">
        <f t="shared" si="68"/>
        <v>-4162032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69"/>
        <v>43</v>
      </c>
      <c r="C62" s="3" t="s">
        <v>69</v>
      </c>
      <c r="D62" s="6">
        <v>1.852591445E9</v>
      </c>
      <c r="E62" s="6">
        <v>7.711739E7</v>
      </c>
      <c r="F62" s="6">
        <f t="shared" si="65"/>
        <v>1775474055</v>
      </c>
      <c r="G62" s="6">
        <v>0.0</v>
      </c>
      <c r="H62" s="28">
        <v>4353.0</v>
      </c>
      <c r="I62" s="6">
        <v>3968637.0</v>
      </c>
      <c r="J62" s="6">
        <v>6.9839724E7</v>
      </c>
      <c r="K62" s="4">
        <f t="shared" si="66"/>
        <v>-65871087</v>
      </c>
      <c r="L62" s="4">
        <f t="shared" ref="L62:M62" si="70">I62</f>
        <v>3968637</v>
      </c>
      <c r="M62" s="4">
        <f t="shared" si="70"/>
        <v>69839724</v>
      </c>
      <c r="N62" s="4">
        <f t="shared" si="68"/>
        <v>-65871087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3"/>
      <c r="B63" s="2">
        <f t="shared" si="69"/>
        <v>44</v>
      </c>
      <c r="C63" s="3" t="s">
        <v>70</v>
      </c>
      <c r="D63" s="6">
        <v>2.27234784E8</v>
      </c>
      <c r="E63" s="6">
        <v>6244028.0</v>
      </c>
      <c r="F63" s="6">
        <f t="shared" si="65"/>
        <v>220990756</v>
      </c>
      <c r="G63" s="6">
        <v>0.0</v>
      </c>
      <c r="H63" s="28">
        <v>782.0</v>
      </c>
      <c r="I63" s="6">
        <v>207804.0</v>
      </c>
      <c r="J63" s="6">
        <v>4890549.0</v>
      </c>
      <c r="K63" s="4">
        <f t="shared" si="66"/>
        <v>-4682745</v>
      </c>
      <c r="L63" s="4">
        <f t="shared" ref="L63:M63" si="71">I63</f>
        <v>207804</v>
      </c>
      <c r="M63" s="4">
        <f t="shared" si="71"/>
        <v>4890549</v>
      </c>
      <c r="N63" s="4">
        <f t="shared" si="68"/>
        <v>-4682745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24" t="s">
        <v>50</v>
      </c>
      <c r="B64" s="25"/>
      <c r="C64" s="1"/>
      <c r="D64" s="26">
        <f t="shared" ref="D64:N64" si="72">SUM(D60:D63)</f>
        <v>2485118946</v>
      </c>
      <c r="E64" s="26">
        <f t="shared" si="72"/>
        <v>84193468.67</v>
      </c>
      <c r="F64" s="26">
        <f t="shared" si="72"/>
        <v>2400925477</v>
      </c>
      <c r="G64" s="26">
        <f t="shared" si="72"/>
        <v>176563802</v>
      </c>
      <c r="H64" s="27">
        <f t="shared" si="72"/>
        <v>5378</v>
      </c>
      <c r="I64" s="26">
        <f t="shared" si="72"/>
        <v>4176441</v>
      </c>
      <c r="J64" s="26">
        <f t="shared" si="72"/>
        <v>78892305</v>
      </c>
      <c r="K64" s="26">
        <f t="shared" si="72"/>
        <v>-74715864</v>
      </c>
      <c r="L64" s="26">
        <f t="shared" si="72"/>
        <v>4176441</v>
      </c>
      <c r="M64" s="26">
        <f t="shared" si="72"/>
        <v>78892305</v>
      </c>
      <c r="N64" s="26">
        <f t="shared" si="72"/>
        <v>-74715864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5"/>
      <c r="C65" s="1"/>
      <c r="D65" s="26">
        <f t="shared" ref="D65:N65" si="73">D58+D64</f>
        <v>13250735283</v>
      </c>
      <c r="E65" s="26">
        <f t="shared" si="73"/>
        <v>250707036.3</v>
      </c>
      <c r="F65" s="26">
        <f t="shared" si="73"/>
        <v>13000028247</v>
      </c>
      <c r="G65" s="26">
        <f t="shared" si="73"/>
        <v>5115426595</v>
      </c>
      <c r="H65" s="27">
        <f t="shared" si="73"/>
        <v>118815</v>
      </c>
      <c r="I65" s="26">
        <f t="shared" si="73"/>
        <v>64681936.68</v>
      </c>
      <c r="J65" s="26">
        <f t="shared" si="73"/>
        <v>205488204.6</v>
      </c>
      <c r="K65" s="26">
        <f t="shared" si="73"/>
        <v>-140806268</v>
      </c>
      <c r="L65" s="26">
        <f t="shared" si="73"/>
        <v>64681936.68</v>
      </c>
      <c r="M65" s="26">
        <f t="shared" si="73"/>
        <v>205488204.6</v>
      </c>
      <c r="N65" s="26">
        <f t="shared" si="73"/>
        <v>-140806268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2.0" customHeight="1">
      <c r="A66" s="1" t="s">
        <v>72</v>
      </c>
      <c r="B66" s="2"/>
      <c r="C66" s="3"/>
      <c r="D66" s="6"/>
      <c r="E66" s="6"/>
      <c r="F66" s="6"/>
      <c r="G66" s="6"/>
      <c r="H66" s="28"/>
      <c r="I66" s="6"/>
      <c r="J66" s="6"/>
      <c r="K66" s="6"/>
      <c r="L66" s="6"/>
      <c r="M66" s="6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20" t="s">
        <v>20</v>
      </c>
      <c r="B67" s="2"/>
      <c r="C67" s="3"/>
      <c r="D67" s="6"/>
      <c r="E67" s="6"/>
      <c r="F67" s="6"/>
      <c r="G67" s="6"/>
      <c r="H67" s="32"/>
      <c r="I67" s="6"/>
      <c r="J67" s="4"/>
      <c r="K67" s="4"/>
      <c r="L67" s="4"/>
      <c r="M67" s="4"/>
      <c r="N67" s="4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>1+B63</f>
        <v>45</v>
      </c>
      <c r="C68" s="3" t="s">
        <v>73</v>
      </c>
      <c r="D68" s="6">
        <v>3.5930269959E10</v>
      </c>
      <c r="E68" s="6">
        <v>1.282186015E9</v>
      </c>
      <c r="F68" s="6">
        <f t="shared" ref="F68:F78" si="75">D68-E68</f>
        <v>34648083944</v>
      </c>
      <c r="G68" s="6">
        <v>3.675E8</v>
      </c>
      <c r="H68" s="28">
        <v>24627.0</v>
      </c>
      <c r="I68" s="6">
        <v>1.9750975E8</v>
      </c>
      <c r="J68" s="6">
        <v>2.68027705E8</v>
      </c>
      <c r="K68" s="4">
        <f t="shared" ref="K68:K78" si="76">I68-J68</f>
        <v>-70517955</v>
      </c>
      <c r="L68" s="4">
        <f t="shared" ref="L68:M68" si="74">I68</f>
        <v>197509750</v>
      </c>
      <c r="M68" s="4">
        <f t="shared" si="74"/>
        <v>268027705</v>
      </c>
      <c r="N68" s="4">
        <f t="shared" ref="N68:N78" si="78">L68-M68</f>
        <v>-70517955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ref="B69:B78" si="79">1+B68</f>
        <v>46</v>
      </c>
      <c r="C69" s="3" t="s">
        <v>74</v>
      </c>
      <c r="D69" s="6">
        <v>2.4249694982E8</v>
      </c>
      <c r="E69" s="6">
        <v>2342530.82</v>
      </c>
      <c r="F69" s="6">
        <f t="shared" si="75"/>
        <v>240154419</v>
      </c>
      <c r="G69" s="6">
        <v>0.0</v>
      </c>
      <c r="H69" s="28">
        <v>890.0</v>
      </c>
      <c r="I69" s="6">
        <v>252060.7</v>
      </c>
      <c r="J69" s="6">
        <v>2128369.76</v>
      </c>
      <c r="K69" s="4">
        <f t="shared" si="76"/>
        <v>-1876309.06</v>
      </c>
      <c r="L69" s="4">
        <f t="shared" ref="L69:M69" si="77">I69</f>
        <v>252060.7</v>
      </c>
      <c r="M69" s="4">
        <f t="shared" si="77"/>
        <v>2128369.76</v>
      </c>
      <c r="N69" s="4">
        <f t="shared" si="78"/>
        <v>-1876309.06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f t="shared" si="79"/>
        <v>47</v>
      </c>
      <c r="C70" s="3" t="s">
        <v>75</v>
      </c>
      <c r="D70" s="6">
        <v>9.3310132978E8</v>
      </c>
      <c r="E70" s="6">
        <v>9601217.58</v>
      </c>
      <c r="F70" s="6">
        <f t="shared" si="75"/>
        <v>923500112.2</v>
      </c>
      <c r="G70" s="6">
        <v>0.0</v>
      </c>
      <c r="H70" s="28">
        <v>1764.0</v>
      </c>
      <c r="I70" s="6">
        <v>5531221.84</v>
      </c>
      <c r="J70" s="6">
        <v>1.374518253E7</v>
      </c>
      <c r="K70" s="4">
        <f t="shared" si="76"/>
        <v>-8213960.69</v>
      </c>
      <c r="L70" s="4">
        <f t="shared" ref="L70:M70" si="80">I70</f>
        <v>5531221.84</v>
      </c>
      <c r="M70" s="4">
        <f t="shared" si="80"/>
        <v>13745182.53</v>
      </c>
      <c r="N70" s="4">
        <f t="shared" si="78"/>
        <v>-8213960.69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1"/>
      <c r="B71" s="2">
        <f t="shared" si="79"/>
        <v>48</v>
      </c>
      <c r="C71" s="3" t="s">
        <v>76</v>
      </c>
      <c r="D71" s="6">
        <v>1.72633876E8</v>
      </c>
      <c r="E71" s="6">
        <v>157853.0</v>
      </c>
      <c r="F71" s="6">
        <f t="shared" si="75"/>
        <v>172476023</v>
      </c>
      <c r="G71" s="6">
        <v>0.0</v>
      </c>
      <c r="H71" s="28">
        <v>128.0</v>
      </c>
      <c r="I71" s="6">
        <v>0.0</v>
      </c>
      <c r="J71" s="6">
        <v>0.0</v>
      </c>
      <c r="K71" s="4">
        <f t="shared" si="76"/>
        <v>0</v>
      </c>
      <c r="L71" s="4">
        <f t="shared" ref="L71:M71" si="81">I71</f>
        <v>0</v>
      </c>
      <c r="M71" s="4">
        <f t="shared" si="81"/>
        <v>0</v>
      </c>
      <c r="N71" s="4">
        <f t="shared" si="78"/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79"/>
        <v>49</v>
      </c>
      <c r="C72" s="3" t="s">
        <v>77</v>
      </c>
      <c r="D72" s="6">
        <v>7.5325575E8</v>
      </c>
      <c r="E72" s="6">
        <v>2.9180965E7</v>
      </c>
      <c r="F72" s="6">
        <f t="shared" si="75"/>
        <v>724074785</v>
      </c>
      <c r="G72" s="6">
        <v>0.0</v>
      </c>
      <c r="H72" s="28">
        <v>1653.0</v>
      </c>
      <c r="I72" s="6">
        <v>611239.0</v>
      </c>
      <c r="J72" s="6">
        <v>2.47028E7</v>
      </c>
      <c r="K72" s="4">
        <f t="shared" si="76"/>
        <v>-24091561</v>
      </c>
      <c r="L72" s="4">
        <f t="shared" ref="L72:M72" si="82">I72</f>
        <v>611239</v>
      </c>
      <c r="M72" s="4">
        <f t="shared" si="82"/>
        <v>24702800</v>
      </c>
      <c r="N72" s="4">
        <f t="shared" si="78"/>
        <v>-24091561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79"/>
        <v>50</v>
      </c>
      <c r="C73" s="3" t="s">
        <v>78</v>
      </c>
      <c r="D73" s="6">
        <v>1.349976556E9</v>
      </c>
      <c r="E73" s="6">
        <v>3.1263269E7</v>
      </c>
      <c r="F73" s="6">
        <f t="shared" si="75"/>
        <v>1318713287</v>
      </c>
      <c r="G73" s="6">
        <v>0.0</v>
      </c>
      <c r="H73" s="28">
        <v>4347.0</v>
      </c>
      <c r="I73" s="6">
        <v>2503961.0</v>
      </c>
      <c r="J73" s="6">
        <v>5594555.0</v>
      </c>
      <c r="K73" s="4">
        <f t="shared" si="76"/>
        <v>-3090594</v>
      </c>
      <c r="L73" s="4">
        <f t="shared" ref="L73:M73" si="83">I73</f>
        <v>2503961</v>
      </c>
      <c r="M73" s="4">
        <f t="shared" si="83"/>
        <v>5594555</v>
      </c>
      <c r="N73" s="4">
        <f t="shared" si="78"/>
        <v>-3090594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79"/>
        <v>51</v>
      </c>
      <c r="C74" s="3" t="s">
        <v>79</v>
      </c>
      <c r="D74" s="6">
        <v>4.93804802E8</v>
      </c>
      <c r="E74" s="6">
        <v>9873808.0</v>
      </c>
      <c r="F74" s="6">
        <f t="shared" si="75"/>
        <v>483930994</v>
      </c>
      <c r="G74" s="6">
        <v>0.0</v>
      </c>
      <c r="H74" s="28">
        <v>366.0</v>
      </c>
      <c r="I74" s="6">
        <v>0.0</v>
      </c>
      <c r="J74" s="6">
        <v>1656591.0</v>
      </c>
      <c r="K74" s="4">
        <f t="shared" si="76"/>
        <v>-1656591</v>
      </c>
      <c r="L74" s="4">
        <f t="shared" ref="L74:M74" si="84">I74</f>
        <v>0</v>
      </c>
      <c r="M74" s="4">
        <f t="shared" si="84"/>
        <v>1656591</v>
      </c>
      <c r="N74" s="4">
        <f t="shared" si="78"/>
        <v>-1656591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79"/>
        <v>52</v>
      </c>
      <c r="C75" s="3" t="s">
        <v>80</v>
      </c>
      <c r="D75" s="6">
        <v>2.8548903275E8</v>
      </c>
      <c r="E75" s="6">
        <v>1506270.43</v>
      </c>
      <c r="F75" s="6">
        <f t="shared" si="75"/>
        <v>283982762.3</v>
      </c>
      <c r="G75" s="6">
        <v>1.0</v>
      </c>
      <c r="H75" s="28">
        <v>3978.0</v>
      </c>
      <c r="I75" s="6">
        <v>2962412.33</v>
      </c>
      <c r="J75" s="6">
        <v>1439387.68</v>
      </c>
      <c r="K75" s="4">
        <f t="shared" si="76"/>
        <v>1523024.65</v>
      </c>
      <c r="L75" s="4">
        <f t="shared" ref="L75:M75" si="85">I75</f>
        <v>2962412.33</v>
      </c>
      <c r="M75" s="4">
        <f t="shared" si="85"/>
        <v>1439387.68</v>
      </c>
      <c r="N75" s="4">
        <f t="shared" si="78"/>
        <v>1523024.65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79"/>
        <v>53</v>
      </c>
      <c r="C76" s="3" t="s">
        <v>81</v>
      </c>
      <c r="D76" s="6">
        <v>2.15956322286E9</v>
      </c>
      <c r="E76" s="6">
        <v>1.678657783E8</v>
      </c>
      <c r="F76" s="6">
        <f t="shared" si="75"/>
        <v>1991697445</v>
      </c>
      <c r="G76" s="6">
        <v>0.0</v>
      </c>
      <c r="H76" s="28">
        <v>751.0</v>
      </c>
      <c r="I76" s="6">
        <v>5.105338702E7</v>
      </c>
      <c r="J76" s="6">
        <v>2143506.06</v>
      </c>
      <c r="K76" s="4">
        <f t="shared" si="76"/>
        <v>48909880.96</v>
      </c>
      <c r="L76" s="4">
        <f t="shared" ref="L76:M76" si="86">I76</f>
        <v>51053387.02</v>
      </c>
      <c r="M76" s="4">
        <f t="shared" si="86"/>
        <v>2143506.06</v>
      </c>
      <c r="N76" s="4">
        <f t="shared" si="78"/>
        <v>48909880.96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79"/>
        <v>54</v>
      </c>
      <c r="C77" s="3" t="s">
        <v>82</v>
      </c>
      <c r="D77" s="6">
        <v>6.445096392E9</v>
      </c>
      <c r="E77" s="6">
        <v>4.3306947E7</v>
      </c>
      <c r="F77" s="6">
        <f t="shared" si="75"/>
        <v>6401789445</v>
      </c>
      <c r="G77" s="6">
        <v>0.0</v>
      </c>
      <c r="H77" s="28">
        <v>19909.0</v>
      </c>
      <c r="I77" s="6">
        <v>4.8874526E7</v>
      </c>
      <c r="J77" s="6">
        <v>1.17497989E8</v>
      </c>
      <c r="K77" s="4">
        <f t="shared" si="76"/>
        <v>-68623463</v>
      </c>
      <c r="L77" s="4">
        <f t="shared" ref="L77:M77" si="87">I77</f>
        <v>48874526</v>
      </c>
      <c r="M77" s="4">
        <f t="shared" si="87"/>
        <v>117497989</v>
      </c>
      <c r="N77" s="4">
        <f t="shared" si="78"/>
        <v>-68623463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f t="shared" si="79"/>
        <v>55</v>
      </c>
      <c r="C78" s="3" t="s">
        <v>83</v>
      </c>
      <c r="D78" s="6">
        <v>1.44514648E8</v>
      </c>
      <c r="E78" s="6">
        <v>300120.0</v>
      </c>
      <c r="F78" s="6">
        <f t="shared" si="75"/>
        <v>144214528</v>
      </c>
      <c r="G78" s="6">
        <v>0.0</v>
      </c>
      <c r="H78" s="28">
        <v>2965.0</v>
      </c>
      <c r="I78" s="6">
        <v>481387.0</v>
      </c>
      <c r="J78" s="6">
        <v>737760.0</v>
      </c>
      <c r="K78" s="4">
        <f t="shared" si="76"/>
        <v>-256373</v>
      </c>
      <c r="L78" s="4">
        <f t="shared" ref="L78:M78" si="88">I78</f>
        <v>481387</v>
      </c>
      <c r="M78" s="4">
        <f t="shared" si="88"/>
        <v>737760</v>
      </c>
      <c r="N78" s="4">
        <f t="shared" si="78"/>
        <v>-256373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20" t="s">
        <v>84</v>
      </c>
      <c r="B79" s="2"/>
      <c r="C79" s="3"/>
      <c r="D79" s="6"/>
      <c r="E79" s="6"/>
      <c r="F79" s="6"/>
      <c r="G79" s="6"/>
      <c r="H79" s="28"/>
      <c r="I79" s="6"/>
      <c r="J79" s="6"/>
      <c r="K79" s="4"/>
      <c r="L79" s="4"/>
      <c r="M79" s="4"/>
      <c r="N79" s="4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f>1+B78</f>
        <v>56</v>
      </c>
      <c r="C80" s="3" t="s">
        <v>85</v>
      </c>
      <c r="D80" s="6">
        <v>0.0</v>
      </c>
      <c r="E80" s="6">
        <v>0.0</v>
      </c>
      <c r="F80" s="6">
        <f>D80-E80</f>
        <v>0</v>
      </c>
      <c r="G80" s="6">
        <v>0.0</v>
      </c>
      <c r="H80" s="28">
        <v>0.0</v>
      </c>
      <c r="I80" s="6">
        <v>0.0</v>
      </c>
      <c r="J80" s="6">
        <v>0.0</v>
      </c>
      <c r="K80" s="4">
        <f>I80-J80</f>
        <v>0</v>
      </c>
      <c r="L80" s="4">
        <f t="shared" ref="L80:M80" si="89">I80</f>
        <v>0</v>
      </c>
      <c r="M80" s="4">
        <f t="shared" si="89"/>
        <v>0</v>
      </c>
      <c r="N80" s="4">
        <f>L80-M80</f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4" t="s">
        <v>46</v>
      </c>
      <c r="B81" s="1"/>
      <c r="C81" s="1"/>
      <c r="D81" s="26">
        <f t="shared" ref="D81:N81" si="90">SUM(D68:D80)</f>
        <v>48910202518</v>
      </c>
      <c r="E81" s="26">
        <f t="shared" si="90"/>
        <v>1577584774</v>
      </c>
      <c r="F81" s="26">
        <f t="shared" si="90"/>
        <v>47332617744</v>
      </c>
      <c r="G81" s="26">
        <f t="shared" si="90"/>
        <v>367500001</v>
      </c>
      <c r="H81" s="26">
        <f t="shared" si="90"/>
        <v>61378</v>
      </c>
      <c r="I81" s="26">
        <f t="shared" si="90"/>
        <v>309779944.9</v>
      </c>
      <c r="J81" s="26">
        <f t="shared" si="90"/>
        <v>437673846</v>
      </c>
      <c r="K81" s="26">
        <f t="shared" si="90"/>
        <v>-127893901.1</v>
      </c>
      <c r="L81" s="26">
        <f t="shared" si="90"/>
        <v>309779944.9</v>
      </c>
      <c r="M81" s="26">
        <f t="shared" si="90"/>
        <v>437673846</v>
      </c>
      <c r="N81" s="26">
        <f t="shared" si="90"/>
        <v>-127893901.1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20" t="s">
        <v>47</v>
      </c>
      <c r="B82" s="2"/>
      <c r="C82" s="3"/>
      <c r="D82" s="6"/>
      <c r="E82" s="6"/>
      <c r="F82" s="6"/>
      <c r="G82" s="6"/>
      <c r="H82" s="28"/>
      <c r="I82" s="6"/>
      <c r="J82" s="6"/>
      <c r="K82" s="6"/>
      <c r="L82" s="6"/>
      <c r="M82" s="4"/>
      <c r="N82" s="4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>B80+1</f>
        <v>57</v>
      </c>
      <c r="C83" s="3" t="s">
        <v>86</v>
      </c>
      <c r="D83" s="6">
        <v>1.1915049812E10</v>
      </c>
      <c r="E83" s="6">
        <v>5.09270258E8</v>
      </c>
      <c r="F83" s="6">
        <f t="shared" ref="F83:F89" si="92">D83-E83</f>
        <v>11405779554</v>
      </c>
      <c r="G83" s="6">
        <v>0.0</v>
      </c>
      <c r="H83" s="28">
        <v>6806.0</v>
      </c>
      <c r="I83" s="6">
        <v>4.618472E7</v>
      </c>
      <c r="J83" s="6">
        <v>9.0883868E7</v>
      </c>
      <c r="K83" s="4">
        <f t="shared" ref="K83:K89" si="93">I83-J83</f>
        <v>-44699148</v>
      </c>
      <c r="L83" s="4">
        <f t="shared" ref="L83:M83" si="91">I83</f>
        <v>46184720</v>
      </c>
      <c r="M83" s="4">
        <f t="shared" si="91"/>
        <v>90883868</v>
      </c>
      <c r="N83" s="4">
        <f t="shared" ref="N83:N89" si="95">L83-M83</f>
        <v>-44699148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ref="B84:B89" si="96">1+B83</f>
        <v>58</v>
      </c>
      <c r="C84" s="3" t="s">
        <v>87</v>
      </c>
      <c r="D84" s="6">
        <v>5.035184174E7</v>
      </c>
      <c r="E84" s="6">
        <v>2135348.98</v>
      </c>
      <c r="F84" s="6">
        <f t="shared" si="92"/>
        <v>48216492.76</v>
      </c>
      <c r="G84" s="6">
        <v>0.0</v>
      </c>
      <c r="H84" s="28">
        <v>21.0</v>
      </c>
      <c r="I84" s="6">
        <v>0.0</v>
      </c>
      <c r="J84" s="6">
        <v>0.0</v>
      </c>
      <c r="K84" s="4">
        <f t="shared" si="93"/>
        <v>0</v>
      </c>
      <c r="L84" s="4">
        <f t="shared" ref="L84:M84" si="94">I84</f>
        <v>0</v>
      </c>
      <c r="M84" s="4">
        <f t="shared" si="94"/>
        <v>0</v>
      </c>
      <c r="N84" s="4">
        <f t="shared" si="95"/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f t="shared" si="96"/>
        <v>59</v>
      </c>
      <c r="C85" s="3" t="s">
        <v>88</v>
      </c>
      <c r="D85" s="6">
        <v>3.23488788E8</v>
      </c>
      <c r="E85" s="6">
        <v>2235907.0</v>
      </c>
      <c r="F85" s="6">
        <f t="shared" si="92"/>
        <v>321252881</v>
      </c>
      <c r="G85" s="6">
        <v>0.0</v>
      </c>
      <c r="H85" s="28">
        <v>138.0</v>
      </c>
      <c r="I85" s="6">
        <v>869907.0</v>
      </c>
      <c r="J85" s="6">
        <v>2532986.0</v>
      </c>
      <c r="K85" s="4">
        <f t="shared" si="93"/>
        <v>-1663079</v>
      </c>
      <c r="L85" s="4">
        <f t="shared" ref="L85:M85" si="97">I85</f>
        <v>869907</v>
      </c>
      <c r="M85" s="4">
        <f t="shared" si="97"/>
        <v>2532986</v>
      </c>
      <c r="N85" s="4">
        <f t="shared" si="95"/>
        <v>-1663079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1.25" customHeight="1">
      <c r="A86" s="20"/>
      <c r="B86" s="2">
        <f t="shared" si="96"/>
        <v>60</v>
      </c>
      <c r="C86" s="3" t="s">
        <v>89</v>
      </c>
      <c r="D86" s="6">
        <v>6.8970564E7</v>
      </c>
      <c r="E86" s="6">
        <v>6195832.0</v>
      </c>
      <c r="F86" s="6">
        <f t="shared" si="92"/>
        <v>62774732</v>
      </c>
      <c r="G86" s="6">
        <v>0.0</v>
      </c>
      <c r="H86" s="28">
        <v>23.0</v>
      </c>
      <c r="I86" s="6">
        <v>0.0</v>
      </c>
      <c r="J86" s="6">
        <v>0.0</v>
      </c>
      <c r="K86" s="4">
        <f t="shared" si="93"/>
        <v>0</v>
      </c>
      <c r="L86" s="4">
        <f t="shared" ref="L86:M86" si="98">I86</f>
        <v>0</v>
      </c>
      <c r="M86" s="4">
        <f t="shared" si="98"/>
        <v>0</v>
      </c>
      <c r="N86" s="4">
        <f t="shared" si="95"/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96"/>
        <v>61</v>
      </c>
      <c r="C87" s="3" t="s">
        <v>90</v>
      </c>
      <c r="D87" s="6">
        <v>1.58026682E9</v>
      </c>
      <c r="E87" s="6">
        <v>9266500.0</v>
      </c>
      <c r="F87" s="6">
        <f t="shared" si="92"/>
        <v>1571000320</v>
      </c>
      <c r="G87" s="6">
        <v>0.0</v>
      </c>
      <c r="H87" s="28">
        <v>1451.0</v>
      </c>
      <c r="I87" s="6">
        <v>17481.0</v>
      </c>
      <c r="J87" s="6">
        <v>7264708.0</v>
      </c>
      <c r="K87" s="4">
        <f t="shared" si="93"/>
        <v>-7247227</v>
      </c>
      <c r="L87" s="4">
        <f t="shared" ref="L87:M87" si="99">I87</f>
        <v>17481</v>
      </c>
      <c r="M87" s="4">
        <f t="shared" si="99"/>
        <v>7264708</v>
      </c>
      <c r="N87" s="4">
        <f t="shared" si="95"/>
        <v>-7247227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96"/>
        <v>62</v>
      </c>
      <c r="C88" s="3" t="s">
        <v>91</v>
      </c>
      <c r="D88" s="6">
        <v>2.2091462177E8</v>
      </c>
      <c r="E88" s="6">
        <v>1280059.86</v>
      </c>
      <c r="F88" s="6">
        <f t="shared" si="92"/>
        <v>219634561.9</v>
      </c>
      <c r="G88" s="6">
        <v>1.0</v>
      </c>
      <c r="H88" s="28">
        <v>92.0</v>
      </c>
      <c r="I88" s="6">
        <v>170694.0</v>
      </c>
      <c r="J88" s="6">
        <v>209393.27</v>
      </c>
      <c r="K88" s="4">
        <f t="shared" si="93"/>
        <v>-38699.27</v>
      </c>
      <c r="L88" s="4">
        <f t="shared" ref="L88:M88" si="100">I88</f>
        <v>170694</v>
      </c>
      <c r="M88" s="4">
        <f t="shared" si="100"/>
        <v>209393.27</v>
      </c>
      <c r="N88" s="4">
        <f t="shared" si="95"/>
        <v>-38699.27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3"/>
      <c r="B89" s="2">
        <f t="shared" si="96"/>
        <v>63</v>
      </c>
      <c r="C89" s="3" t="s">
        <v>92</v>
      </c>
      <c r="D89" s="6">
        <v>4.49151259E8</v>
      </c>
      <c r="E89" s="6">
        <v>3.7274009E7</v>
      </c>
      <c r="F89" s="6">
        <f t="shared" si="92"/>
        <v>411877250</v>
      </c>
      <c r="G89" s="6">
        <v>0.0</v>
      </c>
      <c r="H89" s="28">
        <v>2664.0</v>
      </c>
      <c r="I89" s="6">
        <v>2435705.0</v>
      </c>
      <c r="J89" s="6">
        <v>4.1580333E7</v>
      </c>
      <c r="K89" s="4">
        <f t="shared" si="93"/>
        <v>-39144628</v>
      </c>
      <c r="L89" s="4">
        <f t="shared" ref="L89:M89" si="101">I89</f>
        <v>2435705</v>
      </c>
      <c r="M89" s="4">
        <f t="shared" si="101"/>
        <v>41580333</v>
      </c>
      <c r="N89" s="4">
        <f t="shared" si="95"/>
        <v>-39144628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24" t="s">
        <v>93</v>
      </c>
      <c r="B90" s="25"/>
      <c r="C90" s="33"/>
      <c r="D90" s="26">
        <f t="shared" ref="D90:N90" si="102">SUM(D83:D89)</f>
        <v>14608193707</v>
      </c>
      <c r="E90" s="26">
        <f t="shared" si="102"/>
        <v>567657914.8</v>
      </c>
      <c r="F90" s="26">
        <f t="shared" si="102"/>
        <v>14040535792</v>
      </c>
      <c r="G90" s="26">
        <f t="shared" si="102"/>
        <v>1</v>
      </c>
      <c r="H90" s="26">
        <f t="shared" si="102"/>
        <v>11195</v>
      </c>
      <c r="I90" s="26">
        <f t="shared" si="102"/>
        <v>49678507</v>
      </c>
      <c r="J90" s="26">
        <f t="shared" si="102"/>
        <v>142471288.3</v>
      </c>
      <c r="K90" s="26">
        <f t="shared" si="102"/>
        <v>-92792781.27</v>
      </c>
      <c r="L90" s="26">
        <f t="shared" si="102"/>
        <v>49678507</v>
      </c>
      <c r="M90" s="26">
        <f t="shared" si="102"/>
        <v>142471288.3</v>
      </c>
      <c r="N90" s="26">
        <f t="shared" si="102"/>
        <v>-92792781.27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3"/>
      <c r="B91" s="2">
        <f>1+B89</f>
        <v>64</v>
      </c>
      <c r="C91" s="3" t="s">
        <v>94</v>
      </c>
      <c r="D91" s="6">
        <v>7.36370229E8</v>
      </c>
      <c r="E91" s="6">
        <v>5496190.0</v>
      </c>
      <c r="F91" s="6">
        <f>D91-E91</f>
        <v>730874039</v>
      </c>
      <c r="G91" s="6">
        <v>0.0</v>
      </c>
      <c r="H91" s="28">
        <v>562.0</v>
      </c>
      <c r="I91" s="6">
        <v>3002781.0</v>
      </c>
      <c r="J91" s="6">
        <v>3.9065055E7</v>
      </c>
      <c r="K91" s="4">
        <f>I91-J91</f>
        <v>-36062274</v>
      </c>
      <c r="L91" s="4">
        <f t="shared" ref="L91:M91" si="103">I91</f>
        <v>3002781</v>
      </c>
      <c r="M91" s="4">
        <f t="shared" si="103"/>
        <v>39065055</v>
      </c>
      <c r="N91" s="4">
        <f>L91-M91</f>
        <v>-36062274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24" t="s">
        <v>95</v>
      </c>
      <c r="B92" s="33"/>
      <c r="C92" s="1"/>
      <c r="D92" s="26">
        <f t="shared" ref="D92:N92" si="104">SUM(D91)</f>
        <v>736370229</v>
      </c>
      <c r="E92" s="26">
        <f t="shared" si="104"/>
        <v>5496190</v>
      </c>
      <c r="F92" s="26">
        <f t="shared" si="104"/>
        <v>730874039</v>
      </c>
      <c r="G92" s="26">
        <f t="shared" si="104"/>
        <v>0</v>
      </c>
      <c r="H92" s="29">
        <f t="shared" si="104"/>
        <v>562</v>
      </c>
      <c r="I92" s="26">
        <f t="shared" si="104"/>
        <v>3002781</v>
      </c>
      <c r="J92" s="26">
        <f t="shared" si="104"/>
        <v>39065055</v>
      </c>
      <c r="K92" s="26">
        <f t="shared" si="104"/>
        <v>-36062274</v>
      </c>
      <c r="L92" s="26">
        <f t="shared" si="104"/>
        <v>3002781</v>
      </c>
      <c r="M92" s="26">
        <f t="shared" si="104"/>
        <v>39065055</v>
      </c>
      <c r="N92" s="26">
        <f t="shared" si="104"/>
        <v>-36062274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5"/>
      <c r="C93" s="33"/>
      <c r="D93" s="26">
        <f t="shared" ref="D93:N93" si="105">D81+D90+D92</f>
        <v>64254766454</v>
      </c>
      <c r="E93" s="26">
        <f t="shared" si="105"/>
        <v>2150738879</v>
      </c>
      <c r="F93" s="26">
        <f t="shared" si="105"/>
        <v>62104027575</v>
      </c>
      <c r="G93" s="26">
        <f t="shared" si="105"/>
        <v>367500002</v>
      </c>
      <c r="H93" s="27">
        <f t="shared" si="105"/>
        <v>73135</v>
      </c>
      <c r="I93" s="26">
        <f t="shared" si="105"/>
        <v>362461232.9</v>
      </c>
      <c r="J93" s="26">
        <f t="shared" si="105"/>
        <v>619210189.3</v>
      </c>
      <c r="K93" s="26">
        <f t="shared" si="105"/>
        <v>-256748956.4</v>
      </c>
      <c r="L93" s="26">
        <f t="shared" si="105"/>
        <v>362461232.9</v>
      </c>
      <c r="M93" s="26">
        <f t="shared" si="105"/>
        <v>619210189.3</v>
      </c>
      <c r="N93" s="26">
        <f t="shared" si="105"/>
        <v>-256748956.4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1" t="s">
        <v>97</v>
      </c>
      <c r="B94" s="2"/>
      <c r="C94" s="34"/>
      <c r="D94" s="6"/>
      <c r="E94" s="6"/>
      <c r="F94" s="6"/>
      <c r="G94" s="6"/>
      <c r="H94" s="28"/>
      <c r="I94" s="6"/>
      <c r="J94" s="6"/>
      <c r="K94" s="6"/>
      <c r="L94" s="6"/>
      <c r="M94" s="6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0" t="s">
        <v>20</v>
      </c>
      <c r="B95" s="2"/>
      <c r="C95" s="34"/>
      <c r="D95" s="6"/>
      <c r="E95" s="6"/>
      <c r="F95" s="6"/>
      <c r="G95" s="6"/>
      <c r="H95" s="32"/>
      <c r="I95" s="6"/>
      <c r="J95" s="4"/>
      <c r="K95" s="4"/>
      <c r="L95" s="4"/>
      <c r="M95" s="4"/>
      <c r="N95" s="4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0"/>
      <c r="B96" s="2">
        <f>B91+1</f>
        <v>65</v>
      </c>
      <c r="C96" s="34" t="s">
        <v>98</v>
      </c>
      <c r="D96" s="6">
        <v>1.759426632E8</v>
      </c>
      <c r="E96" s="6">
        <v>326450.83</v>
      </c>
      <c r="F96" s="6">
        <f t="shared" ref="F96:F99" si="107">D96-E96</f>
        <v>175616212.4</v>
      </c>
      <c r="G96" s="6">
        <v>0.0</v>
      </c>
      <c r="H96" s="28">
        <v>56.0</v>
      </c>
      <c r="I96" s="6">
        <v>73000.0</v>
      </c>
      <c r="J96" s="6">
        <v>18188.87</v>
      </c>
      <c r="K96" s="4">
        <f t="shared" ref="K96:K99" si="108">I96-J96</f>
        <v>54811.13</v>
      </c>
      <c r="L96" s="4">
        <f t="shared" ref="L96:M96" si="106">I96</f>
        <v>73000</v>
      </c>
      <c r="M96" s="4">
        <f t="shared" si="106"/>
        <v>18188.87</v>
      </c>
      <c r="N96" s="4">
        <f t="shared" ref="N96:N99" si="110">L96-M96</f>
        <v>54811.13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0"/>
      <c r="B97" s="2">
        <f t="shared" ref="B97:B99" si="111">B96+1</f>
        <v>66</v>
      </c>
      <c r="C97" s="3" t="s">
        <v>99</v>
      </c>
      <c r="D97" s="6">
        <v>1.9325779418E10</v>
      </c>
      <c r="E97" s="6">
        <v>1.0269025E7</v>
      </c>
      <c r="F97" s="6">
        <f t="shared" si="107"/>
        <v>19315510393</v>
      </c>
      <c r="G97" s="6">
        <v>0.0</v>
      </c>
      <c r="H97" s="28">
        <v>20196.0</v>
      </c>
      <c r="I97" s="6">
        <v>369396.0</v>
      </c>
      <c r="J97" s="6">
        <v>2.30327094E8</v>
      </c>
      <c r="K97" s="4">
        <f t="shared" si="108"/>
        <v>-229957698</v>
      </c>
      <c r="L97" s="4">
        <f t="shared" ref="L97:M97" si="109">I97</f>
        <v>369396</v>
      </c>
      <c r="M97" s="4">
        <f t="shared" si="109"/>
        <v>230327094</v>
      </c>
      <c r="N97" s="4">
        <f t="shared" si="110"/>
        <v>-229957698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20"/>
      <c r="B98" s="2">
        <f t="shared" si="111"/>
        <v>67</v>
      </c>
      <c r="C98" s="3" t="s">
        <v>100</v>
      </c>
      <c r="D98" s="6">
        <v>2.406524511E9</v>
      </c>
      <c r="E98" s="6">
        <v>4488624.0</v>
      </c>
      <c r="F98" s="6">
        <f t="shared" si="107"/>
        <v>2402035887</v>
      </c>
      <c r="G98" s="6">
        <v>0.0</v>
      </c>
      <c r="H98" s="28">
        <v>1245.0</v>
      </c>
      <c r="I98" s="6">
        <v>5.3133889E7</v>
      </c>
      <c r="J98" s="6">
        <v>1.01152984E8</v>
      </c>
      <c r="K98" s="4">
        <f t="shared" si="108"/>
        <v>-48019095</v>
      </c>
      <c r="L98" s="4">
        <f t="shared" ref="L98:M98" si="112">I98</f>
        <v>53133889</v>
      </c>
      <c r="M98" s="4">
        <f t="shared" si="112"/>
        <v>101152984</v>
      </c>
      <c r="N98" s="4">
        <f t="shared" si="110"/>
        <v>-48019095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1"/>
      <c r="B99" s="2">
        <f t="shared" si="111"/>
        <v>68</v>
      </c>
      <c r="C99" s="3" t="s">
        <v>101</v>
      </c>
      <c r="D99" s="6">
        <v>1.0183654571E10</v>
      </c>
      <c r="E99" s="6">
        <v>5.7740728E7</v>
      </c>
      <c r="F99" s="6">
        <f t="shared" si="107"/>
        <v>10125913843</v>
      </c>
      <c r="G99" s="6">
        <v>0.0</v>
      </c>
      <c r="H99" s="28">
        <v>74761.0</v>
      </c>
      <c r="I99" s="6">
        <v>2.64056073E8</v>
      </c>
      <c r="J99" s="6">
        <v>8.69788808E8</v>
      </c>
      <c r="K99" s="4">
        <f t="shared" si="108"/>
        <v>-605732735</v>
      </c>
      <c r="L99" s="4">
        <f t="shared" ref="L99:M99" si="113">I99</f>
        <v>264056073</v>
      </c>
      <c r="M99" s="4">
        <f t="shared" si="113"/>
        <v>869788808</v>
      </c>
      <c r="N99" s="4">
        <f t="shared" si="110"/>
        <v>-605732735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0" t="s">
        <v>40</v>
      </c>
      <c r="B100" s="2"/>
      <c r="C100" s="3"/>
      <c r="D100" s="6"/>
      <c r="E100" s="6"/>
      <c r="F100" s="6"/>
      <c r="G100" s="6"/>
      <c r="H100" s="28"/>
      <c r="I100" s="6"/>
      <c r="J100" s="6"/>
      <c r="K100" s="4"/>
      <c r="L100" s="4"/>
      <c r="M100" s="4"/>
      <c r="N100" s="4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/>
      <c r="B101" s="2">
        <f>1+B99</f>
        <v>69</v>
      </c>
      <c r="C101" s="3" t="s">
        <v>99</v>
      </c>
      <c r="D101" s="6">
        <v>1.4002734625E10</v>
      </c>
      <c r="E101" s="6">
        <v>7257744.0</v>
      </c>
      <c r="F101" s="6">
        <f>D101-E101</f>
        <v>13995476881</v>
      </c>
      <c r="G101" s="6">
        <v>0.0</v>
      </c>
      <c r="H101" s="28">
        <v>32583.0</v>
      </c>
      <c r="I101" s="6">
        <v>1.284824875E9</v>
      </c>
      <c r="J101" s="6">
        <v>1.078391271E9</v>
      </c>
      <c r="K101" s="4">
        <f>I101-J101</f>
        <v>206433604</v>
      </c>
      <c r="L101" s="4">
        <f t="shared" ref="L101:M101" si="114">I101</f>
        <v>1284824875</v>
      </c>
      <c r="M101" s="4">
        <f t="shared" si="114"/>
        <v>1078391271</v>
      </c>
      <c r="N101" s="4">
        <f>L101-M101</f>
        <v>206433604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4" t="s">
        <v>46</v>
      </c>
      <c r="B102" s="2"/>
      <c r="C102" s="3"/>
      <c r="D102" s="26">
        <f t="shared" ref="D102:N102" si="115">SUM(D96:D99)+D101</f>
        <v>46094635788</v>
      </c>
      <c r="E102" s="26">
        <f t="shared" si="115"/>
        <v>80082571.83</v>
      </c>
      <c r="F102" s="26">
        <f t="shared" si="115"/>
        <v>46014553216</v>
      </c>
      <c r="G102" s="26">
        <f t="shared" si="115"/>
        <v>0</v>
      </c>
      <c r="H102" s="29">
        <f t="shared" si="115"/>
        <v>128841</v>
      </c>
      <c r="I102" s="26">
        <f t="shared" si="115"/>
        <v>1602457233</v>
      </c>
      <c r="J102" s="26">
        <f t="shared" si="115"/>
        <v>2279678346</v>
      </c>
      <c r="K102" s="26">
        <f t="shared" si="115"/>
        <v>-677221112.9</v>
      </c>
      <c r="L102" s="26">
        <f t="shared" si="115"/>
        <v>1602457233</v>
      </c>
      <c r="M102" s="26">
        <f t="shared" si="115"/>
        <v>2279678346</v>
      </c>
      <c r="N102" s="26">
        <f t="shared" si="115"/>
        <v>-677221112.9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20" t="s">
        <v>47</v>
      </c>
      <c r="B103" s="2"/>
      <c r="C103" s="3"/>
      <c r="D103" s="6"/>
      <c r="E103" s="6"/>
      <c r="F103" s="6"/>
      <c r="G103" s="6"/>
      <c r="H103" s="32"/>
      <c r="I103" s="6"/>
      <c r="J103" s="4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1"/>
      <c r="B104" s="2">
        <f>1+B101</f>
        <v>70</v>
      </c>
      <c r="C104" s="3" t="s">
        <v>102</v>
      </c>
      <c r="D104" s="6">
        <v>1.274006009E9</v>
      </c>
      <c r="E104" s="6">
        <v>4514777.0</v>
      </c>
      <c r="F104" s="6">
        <f>D104-E104</f>
        <v>1269491232</v>
      </c>
      <c r="G104" s="6">
        <v>0.0</v>
      </c>
      <c r="H104" s="28">
        <v>3972.0</v>
      </c>
      <c r="I104" s="6">
        <v>5.36302E7</v>
      </c>
      <c r="J104" s="6">
        <v>1.84689484E8</v>
      </c>
      <c r="K104" s="4">
        <f>I104-J104</f>
        <v>-131059284</v>
      </c>
      <c r="L104" s="4">
        <f t="shared" ref="L104:M104" si="116">I104</f>
        <v>53630200</v>
      </c>
      <c r="M104" s="4">
        <f t="shared" si="116"/>
        <v>184689484</v>
      </c>
      <c r="N104" s="4">
        <f>L104-M104</f>
        <v>-131059284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24" t="s">
        <v>93</v>
      </c>
      <c r="B105" s="2"/>
      <c r="C105" s="3"/>
      <c r="D105" s="26">
        <f t="shared" ref="D105:N105" si="117">SUM(D104)</f>
        <v>1274006009</v>
      </c>
      <c r="E105" s="26">
        <f t="shared" si="117"/>
        <v>4514777</v>
      </c>
      <c r="F105" s="26">
        <f t="shared" si="117"/>
        <v>1269491232</v>
      </c>
      <c r="G105" s="26">
        <f t="shared" si="117"/>
        <v>0</v>
      </c>
      <c r="H105" s="29">
        <f t="shared" si="117"/>
        <v>3972</v>
      </c>
      <c r="I105" s="26">
        <f t="shared" si="117"/>
        <v>53630200</v>
      </c>
      <c r="J105" s="26">
        <f t="shared" si="117"/>
        <v>184689484</v>
      </c>
      <c r="K105" s="26">
        <f t="shared" si="117"/>
        <v>-131059284</v>
      </c>
      <c r="L105" s="26">
        <f t="shared" si="117"/>
        <v>53630200</v>
      </c>
      <c r="M105" s="26">
        <f t="shared" si="117"/>
        <v>184689484</v>
      </c>
      <c r="N105" s="26">
        <f t="shared" si="117"/>
        <v>-131059284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26">
        <f t="shared" ref="D106:N106" si="118">D102+D105</f>
        <v>47368641797</v>
      </c>
      <c r="E106" s="26">
        <f t="shared" si="118"/>
        <v>84597348.83</v>
      </c>
      <c r="F106" s="26">
        <f t="shared" si="118"/>
        <v>47284044448</v>
      </c>
      <c r="G106" s="26">
        <f t="shared" si="118"/>
        <v>0</v>
      </c>
      <c r="H106" s="29">
        <f t="shared" si="118"/>
        <v>132813</v>
      </c>
      <c r="I106" s="26">
        <f t="shared" si="118"/>
        <v>1656087433</v>
      </c>
      <c r="J106" s="26">
        <f t="shared" si="118"/>
        <v>2464367830</v>
      </c>
      <c r="K106" s="26">
        <f t="shared" si="118"/>
        <v>-808280396.9</v>
      </c>
      <c r="L106" s="26">
        <f t="shared" si="118"/>
        <v>1656087433</v>
      </c>
      <c r="M106" s="26">
        <f t="shared" si="118"/>
        <v>2464367830</v>
      </c>
      <c r="N106" s="26">
        <f t="shared" si="118"/>
        <v>-808280396.9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1" t="s">
        <v>104</v>
      </c>
      <c r="B107" s="2"/>
      <c r="C107" s="3"/>
      <c r="D107" s="30"/>
      <c r="E107" s="30"/>
      <c r="F107" s="30"/>
      <c r="G107" s="30"/>
      <c r="H107" s="31"/>
      <c r="I107" s="30"/>
      <c r="J107" s="30"/>
      <c r="K107" s="30"/>
      <c r="L107" s="30"/>
      <c r="M107" s="30"/>
      <c r="N107" s="3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0" t="s">
        <v>105</v>
      </c>
      <c r="B108" s="2"/>
      <c r="C108" s="3"/>
      <c r="D108" s="6"/>
      <c r="E108" s="6"/>
      <c r="F108" s="6"/>
      <c r="G108" s="6"/>
      <c r="H108" s="32"/>
      <c r="I108" s="6"/>
      <c r="J108" s="6"/>
      <c r="K108" s="4"/>
      <c r="L108" s="4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20"/>
      <c r="B109" s="2">
        <f>1+B104</f>
        <v>71</v>
      </c>
      <c r="C109" s="3" t="s">
        <v>106</v>
      </c>
      <c r="D109" s="6">
        <v>1.0001405111E10</v>
      </c>
      <c r="E109" s="6">
        <v>1.1038961E8</v>
      </c>
      <c r="F109" s="6">
        <f t="shared" ref="F109:F111" si="120">D109-E109</f>
        <v>9891015501</v>
      </c>
      <c r="G109" s="6">
        <v>0.0</v>
      </c>
      <c r="H109" s="28">
        <v>603068.0</v>
      </c>
      <c r="I109" s="6">
        <v>2.19755382E8</v>
      </c>
      <c r="J109" s="6">
        <v>1.21244079E8</v>
      </c>
      <c r="K109" s="4">
        <f t="shared" ref="K109:K111" si="121">I109-J109</f>
        <v>98511303</v>
      </c>
      <c r="L109" s="4">
        <f t="shared" ref="L109:M109" si="119">I109</f>
        <v>219755382</v>
      </c>
      <c r="M109" s="4">
        <f t="shared" si="119"/>
        <v>121244079</v>
      </c>
      <c r="N109" s="4">
        <f t="shared" ref="N109:N111" si="123">L109-M109</f>
        <v>98511303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ref="B110:B111" si="124">1+B109</f>
        <v>72</v>
      </c>
      <c r="C110" s="3" t="s">
        <v>107</v>
      </c>
      <c r="D110" s="6">
        <v>7.726302492E9</v>
      </c>
      <c r="E110" s="6">
        <v>1.47970531E8</v>
      </c>
      <c r="F110" s="6">
        <f t="shared" si="120"/>
        <v>7578331961</v>
      </c>
      <c r="G110" s="6">
        <v>0.0</v>
      </c>
      <c r="H110" s="28">
        <v>12687.0</v>
      </c>
      <c r="I110" s="6">
        <v>6.35489964E8</v>
      </c>
      <c r="J110" s="6">
        <v>2.51928866E8</v>
      </c>
      <c r="K110" s="4">
        <f t="shared" si="121"/>
        <v>383561098</v>
      </c>
      <c r="L110" s="4">
        <f t="shared" ref="L110:M110" si="122">I110</f>
        <v>635489964</v>
      </c>
      <c r="M110" s="4">
        <f t="shared" si="122"/>
        <v>251928866</v>
      </c>
      <c r="N110" s="4">
        <f t="shared" si="123"/>
        <v>383561098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1"/>
      <c r="B111" s="2">
        <f t="shared" si="124"/>
        <v>73</v>
      </c>
      <c r="C111" s="3" t="s">
        <v>108</v>
      </c>
      <c r="D111" s="6">
        <v>3.8645542E9</v>
      </c>
      <c r="E111" s="6">
        <v>1.0367832E8</v>
      </c>
      <c r="F111" s="6">
        <f t="shared" si="120"/>
        <v>3760875880</v>
      </c>
      <c r="G111" s="6">
        <v>0.0</v>
      </c>
      <c r="H111" s="28">
        <v>5444.0</v>
      </c>
      <c r="I111" s="6">
        <v>1.46651239E8</v>
      </c>
      <c r="J111" s="6">
        <v>8.4605555E7</v>
      </c>
      <c r="K111" s="4">
        <f t="shared" si="121"/>
        <v>62045684</v>
      </c>
      <c r="L111" s="4">
        <f t="shared" ref="L111:M111" si="125">I111</f>
        <v>146651239</v>
      </c>
      <c r="M111" s="4">
        <f t="shared" si="125"/>
        <v>84605555</v>
      </c>
      <c r="N111" s="4">
        <f t="shared" si="123"/>
        <v>62045684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4" t="s">
        <v>46</v>
      </c>
      <c r="B112" s="2"/>
      <c r="C112" s="3"/>
      <c r="D112" s="26">
        <f t="shared" ref="D112:N112" si="126">D109+D110+D111</f>
        <v>21592261803</v>
      </c>
      <c r="E112" s="26">
        <f t="shared" si="126"/>
        <v>362038461</v>
      </c>
      <c r="F112" s="26">
        <f t="shared" si="126"/>
        <v>21230223342</v>
      </c>
      <c r="G112" s="26">
        <f t="shared" si="126"/>
        <v>0</v>
      </c>
      <c r="H112" s="27">
        <f t="shared" si="126"/>
        <v>621199</v>
      </c>
      <c r="I112" s="26">
        <f t="shared" si="126"/>
        <v>1001896585</v>
      </c>
      <c r="J112" s="26">
        <f t="shared" si="126"/>
        <v>457778500</v>
      </c>
      <c r="K112" s="26">
        <f t="shared" si="126"/>
        <v>544118085</v>
      </c>
      <c r="L112" s="26">
        <f t="shared" si="126"/>
        <v>1001896585</v>
      </c>
      <c r="M112" s="26">
        <f t="shared" si="126"/>
        <v>457778500</v>
      </c>
      <c r="N112" s="26">
        <f t="shared" si="126"/>
        <v>544118085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20" t="s">
        <v>109</v>
      </c>
      <c r="B113" s="2"/>
      <c r="C113" s="3"/>
      <c r="D113" s="6"/>
      <c r="E113" s="6"/>
      <c r="F113" s="6"/>
      <c r="G113" s="6"/>
      <c r="H113" s="32"/>
      <c r="I113" s="6"/>
      <c r="J113" s="6"/>
      <c r="K113" s="4"/>
      <c r="L113" s="4"/>
      <c r="M113" s="4"/>
      <c r="N113" s="4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1"/>
      <c r="B114" s="2">
        <f>1+B111</f>
        <v>74</v>
      </c>
      <c r="C114" s="3" t="s">
        <v>106</v>
      </c>
      <c r="D114" s="6">
        <v>8.829862129E9</v>
      </c>
      <c r="E114" s="6">
        <v>8.9874488E7</v>
      </c>
      <c r="F114" s="6">
        <f>D114-E114</f>
        <v>8739987641</v>
      </c>
      <c r="G114" s="6">
        <v>0.0</v>
      </c>
      <c r="H114" s="28">
        <v>6856.0</v>
      </c>
      <c r="I114" s="6">
        <v>4.7822174E7</v>
      </c>
      <c r="J114" s="6">
        <v>1.43168581E8</v>
      </c>
      <c r="K114" s="4">
        <f>I114-J114</f>
        <v>-95346407</v>
      </c>
      <c r="L114" s="4">
        <f t="shared" ref="L114:M114" si="127">I114</f>
        <v>47822174</v>
      </c>
      <c r="M114" s="4">
        <f t="shared" si="127"/>
        <v>143168581</v>
      </c>
      <c r="N114" s="4">
        <f>L114-M114</f>
        <v>-95346407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24" t="s">
        <v>93</v>
      </c>
      <c r="B115" s="25"/>
      <c r="C115" s="1"/>
      <c r="D115" s="26">
        <f t="shared" ref="D115:N115" si="128">SUM(D114)</f>
        <v>8829862129</v>
      </c>
      <c r="E115" s="26">
        <f t="shared" si="128"/>
        <v>89874488</v>
      </c>
      <c r="F115" s="26">
        <f t="shared" si="128"/>
        <v>8739987641</v>
      </c>
      <c r="G115" s="26">
        <f t="shared" si="128"/>
        <v>0</v>
      </c>
      <c r="H115" s="29">
        <f t="shared" si="128"/>
        <v>6856</v>
      </c>
      <c r="I115" s="26">
        <f t="shared" si="128"/>
        <v>47822174</v>
      </c>
      <c r="J115" s="26">
        <f t="shared" si="128"/>
        <v>143168581</v>
      </c>
      <c r="K115" s="26">
        <f t="shared" si="128"/>
        <v>-95346407</v>
      </c>
      <c r="L115" s="26">
        <f t="shared" si="128"/>
        <v>47822174</v>
      </c>
      <c r="M115" s="26">
        <f t="shared" si="128"/>
        <v>143168581</v>
      </c>
      <c r="N115" s="26">
        <f t="shared" si="128"/>
        <v>-95346407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1" t="s">
        <v>110</v>
      </c>
      <c r="B116" s="35"/>
      <c r="C116" s="33"/>
      <c r="D116" s="26">
        <f t="shared" ref="D116:N116" si="129">SUM(D112+D115)</f>
        <v>30422123932</v>
      </c>
      <c r="E116" s="26">
        <f t="shared" si="129"/>
        <v>451912949</v>
      </c>
      <c r="F116" s="26">
        <f t="shared" si="129"/>
        <v>29970210983</v>
      </c>
      <c r="G116" s="26">
        <f t="shared" si="129"/>
        <v>0</v>
      </c>
      <c r="H116" s="29">
        <f t="shared" si="129"/>
        <v>628055</v>
      </c>
      <c r="I116" s="26">
        <f t="shared" si="129"/>
        <v>1049718759</v>
      </c>
      <c r="J116" s="26">
        <f t="shared" si="129"/>
        <v>600947081</v>
      </c>
      <c r="K116" s="26">
        <f t="shared" si="129"/>
        <v>448771678</v>
      </c>
      <c r="L116" s="26">
        <f t="shared" si="129"/>
        <v>1049718759</v>
      </c>
      <c r="M116" s="26">
        <f t="shared" si="129"/>
        <v>600947081</v>
      </c>
      <c r="N116" s="26">
        <f t="shared" si="129"/>
        <v>448771678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36" t="s">
        <v>111</v>
      </c>
      <c r="B117" s="37"/>
      <c r="C117" s="38"/>
      <c r="D117" s="39">
        <f t="shared" ref="D117:N117" si="130">D40+D65+D93+D106+D116</f>
        <v>209096926629</v>
      </c>
      <c r="E117" s="39">
        <f t="shared" si="130"/>
        <v>3641594080</v>
      </c>
      <c r="F117" s="39">
        <f t="shared" si="130"/>
        <v>205455332549</v>
      </c>
      <c r="G117" s="39">
        <f t="shared" si="130"/>
        <v>54233396310</v>
      </c>
      <c r="H117" s="40">
        <f t="shared" si="130"/>
        <v>2028841</v>
      </c>
      <c r="I117" s="39">
        <f t="shared" si="130"/>
        <v>3365028007</v>
      </c>
      <c r="J117" s="39">
        <f t="shared" si="130"/>
        <v>5193057336</v>
      </c>
      <c r="K117" s="39">
        <f t="shared" si="130"/>
        <v>-1828029329</v>
      </c>
      <c r="L117" s="39">
        <f t="shared" si="130"/>
        <v>3365028007</v>
      </c>
      <c r="M117" s="39">
        <f t="shared" si="130"/>
        <v>5193057336</v>
      </c>
      <c r="N117" s="39">
        <f t="shared" si="130"/>
        <v>-1828029329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41"/>
      <c r="B118" s="41"/>
      <c r="C118" s="41"/>
      <c r="D118" s="4"/>
      <c r="E118" s="4"/>
      <c r="F118" s="4"/>
      <c r="G118" s="4"/>
      <c r="H118" s="5"/>
      <c r="I118" s="6"/>
      <c r="J118" s="4"/>
      <c r="K118" s="4"/>
      <c r="L118" s="4">
        <f t="shared" ref="L118:N118" si="131">I117-L117</f>
        <v>0</v>
      </c>
      <c r="M118" s="4">
        <f t="shared" si="131"/>
        <v>0</v>
      </c>
      <c r="N118" s="4">
        <f t="shared" si="131"/>
        <v>0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2" t="s">
        <v>112</v>
      </c>
      <c r="B119" s="34"/>
      <c r="C119" s="3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2" t="s">
        <v>113</v>
      </c>
      <c r="B120" s="34"/>
      <c r="C120" s="3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2" t="s">
        <v>114</v>
      </c>
      <c r="B121" s="34"/>
      <c r="C121" s="3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1"/>
      <c r="B122" s="41"/>
      <c r="C122" s="41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1"/>
      <c r="B123" s="41"/>
      <c r="C123" s="41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1"/>
      <c r="B124" s="41"/>
      <c r="C124" s="41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1"/>
      <c r="B125" s="41"/>
      <c r="C125" s="41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1"/>
      <c r="B126" s="41"/>
      <c r="C126" s="41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1"/>
      <c r="B127" s="41"/>
      <c r="C127" s="41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1"/>
      <c r="B128" s="41"/>
      <c r="C128" s="41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1"/>
      <c r="B129" s="41"/>
      <c r="C129" s="41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1"/>
      <c r="B130" s="41"/>
      <c r="C130" s="41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1"/>
      <c r="B131" s="41"/>
      <c r="C131" s="41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1"/>
      <c r="B132" s="41"/>
      <c r="C132" s="41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1"/>
      <c r="B133" s="41"/>
      <c r="C133" s="41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1"/>
      <c r="B134" s="41"/>
      <c r="C134" s="41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1"/>
      <c r="B135" s="41"/>
      <c r="C135" s="41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1"/>
      <c r="B136" s="41"/>
      <c r="C136" s="41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1"/>
      <c r="B137" s="41"/>
      <c r="C137" s="41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1"/>
      <c r="B138" s="41"/>
      <c r="C138" s="41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1"/>
      <c r="B139" s="41"/>
      <c r="C139" s="41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1"/>
      <c r="B140" s="41"/>
      <c r="C140" s="41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1"/>
      <c r="B141" s="41"/>
      <c r="C141" s="41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1"/>
      <c r="B142" s="41"/>
      <c r="C142" s="41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1"/>
      <c r="B143" s="41"/>
      <c r="C143" s="41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1"/>
      <c r="B144" s="41"/>
      <c r="C144" s="41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1"/>
      <c r="B145" s="41"/>
      <c r="C145" s="41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1"/>
      <c r="B146" s="41"/>
      <c r="C146" s="41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1"/>
      <c r="B147" s="41"/>
      <c r="C147" s="41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1"/>
      <c r="B148" s="41"/>
      <c r="C148" s="41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1"/>
      <c r="B149" s="41"/>
      <c r="C149" s="41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1"/>
      <c r="B150" s="41"/>
      <c r="C150" s="41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1"/>
      <c r="B151" s="41"/>
      <c r="C151" s="41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1"/>
      <c r="B152" s="41"/>
      <c r="C152" s="41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1"/>
      <c r="B153" s="41"/>
      <c r="C153" s="41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1"/>
      <c r="B154" s="41"/>
      <c r="C154" s="41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1"/>
      <c r="B155" s="41"/>
      <c r="C155" s="41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1"/>
      <c r="B156" s="41"/>
      <c r="C156" s="41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1"/>
      <c r="B157" s="41"/>
      <c r="C157" s="41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1"/>
      <c r="B158" s="41"/>
      <c r="C158" s="41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1"/>
      <c r="B159" s="41"/>
      <c r="C159" s="41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1"/>
      <c r="B160" s="41"/>
      <c r="C160" s="41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1"/>
      <c r="B161" s="41"/>
      <c r="C161" s="41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1"/>
      <c r="B162" s="41"/>
      <c r="C162" s="41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1"/>
      <c r="B163" s="41"/>
      <c r="C163" s="41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1"/>
      <c r="B164" s="41"/>
      <c r="C164" s="41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1"/>
      <c r="B165" s="41"/>
      <c r="C165" s="41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1"/>
      <c r="B166" s="41"/>
      <c r="C166" s="41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1"/>
      <c r="B167" s="41"/>
      <c r="C167" s="41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1"/>
      <c r="B168" s="41"/>
      <c r="C168" s="41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1"/>
      <c r="B169" s="41"/>
      <c r="C169" s="41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1"/>
      <c r="B170" s="41"/>
      <c r="C170" s="41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1"/>
      <c r="B171" s="41"/>
      <c r="C171" s="41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1"/>
      <c r="B172" s="41"/>
      <c r="C172" s="41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1"/>
      <c r="B173" s="41"/>
      <c r="C173" s="41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1"/>
      <c r="B174" s="41"/>
      <c r="C174" s="41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1"/>
      <c r="B175" s="41"/>
      <c r="C175" s="41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1"/>
      <c r="B176" s="41"/>
      <c r="C176" s="41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1"/>
      <c r="B177" s="41"/>
      <c r="C177" s="41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1"/>
      <c r="B178" s="41"/>
      <c r="C178" s="41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1"/>
      <c r="B179" s="41"/>
      <c r="C179" s="41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1"/>
      <c r="B180" s="41"/>
      <c r="C180" s="41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1"/>
      <c r="B181" s="41"/>
      <c r="C181" s="41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1"/>
      <c r="B182" s="41"/>
      <c r="C182" s="41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1"/>
      <c r="B183" s="41"/>
      <c r="C183" s="41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1"/>
      <c r="B184" s="41"/>
      <c r="C184" s="41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1"/>
      <c r="B185" s="41"/>
      <c r="C185" s="41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1"/>
      <c r="B186" s="41"/>
      <c r="C186" s="41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1"/>
      <c r="B187" s="41"/>
      <c r="C187" s="41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1"/>
      <c r="B188" s="41"/>
      <c r="C188" s="41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1"/>
      <c r="B189" s="41"/>
      <c r="C189" s="41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1"/>
      <c r="B190" s="41"/>
      <c r="C190" s="41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1"/>
      <c r="B191" s="41"/>
      <c r="C191" s="41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1"/>
      <c r="B192" s="41"/>
      <c r="C192" s="41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1"/>
      <c r="B193" s="41"/>
      <c r="C193" s="41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1"/>
      <c r="B194" s="41"/>
      <c r="C194" s="41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1"/>
      <c r="B195" s="41"/>
      <c r="C195" s="41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1"/>
      <c r="B196" s="41"/>
      <c r="C196" s="41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1"/>
      <c r="B197" s="41"/>
      <c r="C197" s="41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1"/>
      <c r="B198" s="41"/>
      <c r="C198" s="41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1"/>
      <c r="B199" s="41"/>
      <c r="C199" s="41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1"/>
      <c r="B200" s="41"/>
      <c r="C200" s="41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1"/>
      <c r="B201" s="41"/>
      <c r="C201" s="41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1"/>
      <c r="B202" s="41"/>
      <c r="C202" s="41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1"/>
      <c r="B203" s="41"/>
      <c r="C203" s="41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1"/>
      <c r="B204" s="41"/>
      <c r="C204" s="41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1"/>
      <c r="B205" s="41"/>
      <c r="C205" s="41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1"/>
      <c r="B206" s="41"/>
      <c r="C206" s="41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1"/>
      <c r="B207" s="41"/>
      <c r="C207" s="41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1"/>
      <c r="B208" s="41"/>
      <c r="C208" s="41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1"/>
      <c r="B209" s="41"/>
      <c r="C209" s="41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1"/>
      <c r="B210" s="41"/>
      <c r="C210" s="41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1"/>
      <c r="B211" s="41"/>
      <c r="C211" s="41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1"/>
      <c r="B212" s="41"/>
      <c r="C212" s="41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1"/>
      <c r="B213" s="41"/>
      <c r="C213" s="41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1"/>
      <c r="B214" s="41"/>
      <c r="C214" s="41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1"/>
      <c r="B215" s="41"/>
      <c r="C215" s="41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1"/>
      <c r="B216" s="41"/>
      <c r="C216" s="41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1"/>
      <c r="B217" s="41"/>
      <c r="C217" s="41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1"/>
      <c r="B218" s="41"/>
      <c r="C218" s="41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1"/>
      <c r="B219" s="41"/>
      <c r="C219" s="41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1"/>
      <c r="B220" s="41"/>
      <c r="C220" s="41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1"/>
      <c r="B221" s="41"/>
      <c r="C221" s="41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1"/>
      <c r="B222" s="41"/>
      <c r="C222" s="41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1"/>
      <c r="B223" s="41"/>
      <c r="C223" s="41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1"/>
      <c r="B224" s="41"/>
      <c r="C224" s="41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1"/>
      <c r="B225" s="41"/>
      <c r="C225" s="41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1"/>
      <c r="B226" s="41"/>
      <c r="C226" s="41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1"/>
      <c r="B227" s="41"/>
      <c r="C227" s="41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1"/>
      <c r="B228" s="41"/>
      <c r="C228" s="41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1"/>
      <c r="B229" s="41"/>
      <c r="C229" s="41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1"/>
      <c r="B230" s="41"/>
      <c r="C230" s="41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1"/>
      <c r="B231" s="41"/>
      <c r="C231" s="41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1"/>
      <c r="B232" s="41"/>
      <c r="C232" s="41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1"/>
      <c r="B233" s="41"/>
      <c r="C233" s="41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1"/>
      <c r="B234" s="41"/>
      <c r="C234" s="41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1"/>
      <c r="B235" s="41"/>
      <c r="C235" s="41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1"/>
      <c r="B236" s="41"/>
      <c r="C236" s="41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1"/>
      <c r="B237" s="41"/>
      <c r="C237" s="41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1"/>
      <c r="B238" s="41"/>
      <c r="C238" s="41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1"/>
      <c r="B239" s="41"/>
      <c r="C239" s="41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1"/>
      <c r="B240" s="41"/>
      <c r="C240" s="41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1"/>
      <c r="B241" s="41"/>
      <c r="C241" s="41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1"/>
      <c r="B242" s="41"/>
      <c r="C242" s="41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1"/>
      <c r="B243" s="41"/>
      <c r="C243" s="41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1"/>
      <c r="B244" s="41"/>
      <c r="C244" s="41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1"/>
      <c r="B245" s="41"/>
      <c r="C245" s="41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1"/>
      <c r="B246" s="41"/>
      <c r="C246" s="41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1"/>
      <c r="B247" s="41"/>
      <c r="C247" s="41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1"/>
      <c r="B248" s="41"/>
      <c r="C248" s="41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1"/>
      <c r="B249" s="41"/>
      <c r="C249" s="41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1"/>
      <c r="B250" s="41"/>
      <c r="C250" s="41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1"/>
      <c r="B251" s="41"/>
      <c r="C251" s="41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1"/>
      <c r="B252" s="41"/>
      <c r="C252" s="41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1"/>
      <c r="B253" s="41"/>
      <c r="C253" s="41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1"/>
      <c r="B254" s="41"/>
      <c r="C254" s="41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1"/>
      <c r="B255" s="41"/>
      <c r="C255" s="41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1"/>
      <c r="B256" s="41"/>
      <c r="C256" s="41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1"/>
      <c r="B257" s="41"/>
      <c r="C257" s="41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1"/>
      <c r="B258" s="41"/>
      <c r="C258" s="41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1"/>
      <c r="B259" s="41"/>
      <c r="C259" s="41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1"/>
      <c r="B260" s="41"/>
      <c r="C260" s="41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1"/>
      <c r="B261" s="41"/>
      <c r="C261" s="41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1"/>
      <c r="B262" s="41"/>
      <c r="C262" s="41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1"/>
      <c r="B263" s="41"/>
      <c r="C263" s="41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1"/>
      <c r="B264" s="41"/>
      <c r="C264" s="41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1"/>
      <c r="B265" s="41"/>
      <c r="C265" s="41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1"/>
      <c r="B266" s="41"/>
      <c r="C266" s="41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1"/>
      <c r="B267" s="41"/>
      <c r="C267" s="41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1"/>
      <c r="B268" s="41"/>
      <c r="C268" s="41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1"/>
      <c r="B269" s="41"/>
      <c r="C269" s="41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1"/>
      <c r="B270" s="41"/>
      <c r="C270" s="41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1"/>
      <c r="B271" s="41"/>
      <c r="C271" s="41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1"/>
      <c r="B272" s="41"/>
      <c r="C272" s="41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1"/>
      <c r="B273" s="41"/>
      <c r="C273" s="41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1"/>
      <c r="B274" s="41"/>
      <c r="C274" s="41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1"/>
      <c r="B275" s="41"/>
      <c r="C275" s="41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1"/>
      <c r="B276" s="41"/>
      <c r="C276" s="41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1"/>
      <c r="B277" s="41"/>
      <c r="C277" s="41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1"/>
      <c r="B278" s="41"/>
      <c r="C278" s="41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1"/>
      <c r="B279" s="41"/>
      <c r="C279" s="41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1"/>
      <c r="B280" s="41"/>
      <c r="C280" s="41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1"/>
      <c r="B281" s="41"/>
      <c r="C281" s="41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1"/>
      <c r="B282" s="41"/>
      <c r="C282" s="41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1"/>
      <c r="B283" s="41"/>
      <c r="C283" s="41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1"/>
      <c r="B284" s="41"/>
      <c r="C284" s="41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1"/>
      <c r="B285" s="41"/>
      <c r="C285" s="41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1"/>
      <c r="B286" s="41"/>
      <c r="C286" s="41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1"/>
      <c r="B287" s="41"/>
      <c r="C287" s="41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1"/>
      <c r="B288" s="41"/>
      <c r="C288" s="41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1"/>
      <c r="B289" s="41"/>
      <c r="C289" s="41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1"/>
      <c r="B290" s="41"/>
      <c r="C290" s="41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1"/>
      <c r="B291" s="41"/>
      <c r="C291" s="41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1"/>
      <c r="B292" s="41"/>
      <c r="C292" s="41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1"/>
      <c r="B293" s="41"/>
      <c r="C293" s="41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1"/>
      <c r="B294" s="41"/>
      <c r="C294" s="41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1"/>
      <c r="B295" s="41"/>
      <c r="C295" s="41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1"/>
      <c r="B296" s="41"/>
      <c r="C296" s="41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1"/>
      <c r="B297" s="41"/>
      <c r="C297" s="41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1"/>
      <c r="B298" s="41"/>
      <c r="C298" s="41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1"/>
      <c r="B299" s="41"/>
      <c r="C299" s="41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1"/>
      <c r="B300" s="41"/>
      <c r="C300" s="41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1"/>
      <c r="B301" s="41"/>
      <c r="C301" s="41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1"/>
      <c r="B302" s="41"/>
      <c r="C302" s="41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1"/>
      <c r="B303" s="41"/>
      <c r="C303" s="41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1"/>
      <c r="B304" s="41"/>
      <c r="C304" s="41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1"/>
      <c r="B305" s="41"/>
      <c r="C305" s="41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1"/>
      <c r="B306" s="41"/>
      <c r="C306" s="41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1"/>
      <c r="B307" s="41"/>
      <c r="C307" s="41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1"/>
      <c r="B308" s="41"/>
      <c r="C308" s="41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1"/>
      <c r="B309" s="41"/>
      <c r="C309" s="41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1"/>
      <c r="B310" s="41"/>
      <c r="C310" s="41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1"/>
      <c r="B311" s="41"/>
      <c r="C311" s="41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1"/>
      <c r="B312" s="41"/>
      <c r="C312" s="41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1"/>
      <c r="B313" s="41"/>
      <c r="C313" s="41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1"/>
      <c r="B314" s="41"/>
      <c r="C314" s="41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1"/>
      <c r="B315" s="41"/>
      <c r="C315" s="41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1"/>
      <c r="B316" s="41"/>
      <c r="C316" s="41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1"/>
      <c r="B317" s="41"/>
      <c r="C317" s="41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1"/>
      <c r="B318" s="41"/>
      <c r="C318" s="41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1"/>
      <c r="B319" s="41"/>
      <c r="C319" s="41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1"/>
      <c r="B320" s="41"/>
      <c r="C320" s="41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1"/>
      <c r="B321" s="41"/>
      <c r="C321" s="41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2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3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115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3"/>
      <c r="L5" s="12" t="s">
        <v>5</v>
      </c>
      <c r="M5" s="1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4" t="s">
        <v>6</v>
      </c>
      <c r="B6" s="15"/>
      <c r="C6" s="16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8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0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0"/>
      <c r="B9" s="2">
        <v>1.0</v>
      </c>
      <c r="C9" s="3" t="s">
        <v>21</v>
      </c>
      <c r="D9" s="6">
        <v>3.678383403E9</v>
      </c>
      <c r="E9" s="6">
        <v>2.9551293E7</v>
      </c>
      <c r="F9" s="6">
        <f t="shared" ref="F9:F27" si="1">D9-E9</f>
        <v>3648832110</v>
      </c>
      <c r="G9" s="6">
        <v>3.606659841E9</v>
      </c>
      <c r="H9" s="6">
        <v>5290.0</v>
      </c>
      <c r="I9" s="6">
        <v>5384497.0</v>
      </c>
      <c r="J9" s="6">
        <v>4.6958163E7</v>
      </c>
      <c r="K9" s="4">
        <f t="shared" ref="K9:K27" si="2">I9-J9</f>
        <v>-41573666</v>
      </c>
      <c r="L9" s="4">
        <f>I9+Jan!L9</f>
        <v>8024804</v>
      </c>
      <c r="M9" s="4">
        <f>J9+Jan!M9</f>
        <v>95081261</v>
      </c>
      <c r="N9" s="4">
        <f t="shared" ref="N9:N27" si="3">L9-M9</f>
        <v>-87056457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0"/>
      <c r="B10" s="2">
        <f t="shared" ref="B10:B27" si="4">1+B9</f>
        <v>2</v>
      </c>
      <c r="C10" s="3" t="s">
        <v>22</v>
      </c>
      <c r="D10" s="6">
        <v>1.11764715129E9</v>
      </c>
      <c r="E10" s="6">
        <v>1.09300347E7</v>
      </c>
      <c r="F10" s="6">
        <f t="shared" si="1"/>
        <v>1106717117</v>
      </c>
      <c r="G10" s="6">
        <v>1.03670004425E9</v>
      </c>
      <c r="H10" s="6">
        <v>4210.0</v>
      </c>
      <c r="I10" s="6">
        <v>1.316339057E7</v>
      </c>
      <c r="J10" s="6">
        <v>1.319296069E7</v>
      </c>
      <c r="K10" s="4">
        <f t="shared" si="2"/>
        <v>-29570.12</v>
      </c>
      <c r="L10" s="4">
        <f>I10+Jan!L10</f>
        <v>24350175.22</v>
      </c>
      <c r="M10" s="4">
        <f>J10+Jan!M10</f>
        <v>103161174.8</v>
      </c>
      <c r="N10" s="4">
        <f t="shared" si="3"/>
        <v>-78810999.58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0"/>
      <c r="B11" s="2">
        <f t="shared" si="4"/>
        <v>3</v>
      </c>
      <c r="C11" s="3" t="s">
        <v>23</v>
      </c>
      <c r="D11" s="6">
        <v>1.07206997784E9</v>
      </c>
      <c r="E11" s="6">
        <v>7.775096485E7</v>
      </c>
      <c r="F11" s="6">
        <f t="shared" si="1"/>
        <v>994319013</v>
      </c>
      <c r="G11" s="6">
        <v>9.3161594415E8</v>
      </c>
      <c r="H11" s="6">
        <v>2348.0</v>
      </c>
      <c r="I11" s="6">
        <v>2000295.96</v>
      </c>
      <c r="J11" s="6">
        <v>7773113.83</v>
      </c>
      <c r="K11" s="4">
        <f t="shared" si="2"/>
        <v>-5772817.87</v>
      </c>
      <c r="L11" s="4">
        <f>I11+Jan!L11</f>
        <v>7939013.89</v>
      </c>
      <c r="M11" s="4">
        <f>J11+Jan!M11</f>
        <v>53821477.89</v>
      </c>
      <c r="N11" s="4">
        <f t="shared" si="3"/>
        <v>-45882464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0"/>
      <c r="B12" s="2">
        <f t="shared" si="4"/>
        <v>4</v>
      </c>
      <c r="C12" s="3" t="s">
        <v>24</v>
      </c>
      <c r="D12" s="6">
        <v>5.188595686E8</v>
      </c>
      <c r="E12" s="6">
        <v>2.016540503E7</v>
      </c>
      <c r="F12" s="6">
        <f t="shared" si="1"/>
        <v>498694163.6</v>
      </c>
      <c r="G12" s="6">
        <v>2.7663692615E8</v>
      </c>
      <c r="H12" s="6">
        <v>1706.0</v>
      </c>
      <c r="I12" s="6">
        <v>725792.5</v>
      </c>
      <c r="J12" s="6">
        <v>564740.09</v>
      </c>
      <c r="K12" s="4">
        <f t="shared" si="2"/>
        <v>161052.41</v>
      </c>
      <c r="L12" s="4">
        <f>I12+Jan!L12</f>
        <v>789292.5</v>
      </c>
      <c r="M12" s="4">
        <f>J12+Jan!M12</f>
        <v>17007176.34</v>
      </c>
      <c r="N12" s="4">
        <f t="shared" si="3"/>
        <v>-16217883.84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0"/>
      <c r="B13" s="2">
        <f t="shared" si="4"/>
        <v>5</v>
      </c>
      <c r="C13" s="3" t="s">
        <v>25</v>
      </c>
      <c r="D13" s="6">
        <v>2.79152771E8</v>
      </c>
      <c r="E13" s="6">
        <v>1.0583956E7</v>
      </c>
      <c r="F13" s="6">
        <f t="shared" si="1"/>
        <v>268568815</v>
      </c>
      <c r="G13" s="6">
        <v>2.63653374E8</v>
      </c>
      <c r="H13" s="6">
        <v>1065.0</v>
      </c>
      <c r="I13" s="6">
        <v>99185.0</v>
      </c>
      <c r="J13" s="6">
        <v>1.6654032E7</v>
      </c>
      <c r="K13" s="4">
        <f t="shared" si="2"/>
        <v>-16554847</v>
      </c>
      <c r="L13" s="4">
        <f>I13+Jan!L13</f>
        <v>248176</v>
      </c>
      <c r="M13" s="4">
        <f>J13+Jan!M13</f>
        <v>17384084</v>
      </c>
      <c r="N13" s="4">
        <f t="shared" si="3"/>
        <v>-17135908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2.64879203E9</v>
      </c>
      <c r="E14" s="6">
        <v>1.56007523E8</v>
      </c>
      <c r="F14" s="6">
        <f t="shared" si="1"/>
        <v>2492784507</v>
      </c>
      <c r="G14" s="6">
        <v>2.329860987E9</v>
      </c>
      <c r="H14" s="6">
        <v>15162.0</v>
      </c>
      <c r="I14" s="6">
        <v>1645204.0</v>
      </c>
      <c r="J14" s="6">
        <v>3.1133161E7</v>
      </c>
      <c r="K14" s="4">
        <f t="shared" si="2"/>
        <v>-29487957</v>
      </c>
      <c r="L14" s="4">
        <f>I14+Jan!L14</f>
        <v>8054336</v>
      </c>
      <c r="M14" s="4">
        <f>J14+Jan!M14</f>
        <v>77511419</v>
      </c>
      <c r="N14" s="4">
        <f t="shared" si="3"/>
        <v>-69457083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6.9102317E7</v>
      </c>
      <c r="E15" s="6">
        <v>403828.0</v>
      </c>
      <c r="F15" s="6">
        <f t="shared" si="1"/>
        <v>68698489</v>
      </c>
      <c r="G15" s="6">
        <v>6.7798081E7</v>
      </c>
      <c r="H15" s="6">
        <v>503.0</v>
      </c>
      <c r="I15" s="6">
        <v>137742.0</v>
      </c>
      <c r="J15" s="6">
        <v>362141.0</v>
      </c>
      <c r="K15" s="4">
        <f t="shared" si="2"/>
        <v>-224399</v>
      </c>
      <c r="L15" s="4">
        <f>I15+Jan!L15</f>
        <v>450962</v>
      </c>
      <c r="M15" s="4">
        <f>J15+Jan!M15</f>
        <v>477054</v>
      </c>
      <c r="N15" s="4">
        <f t="shared" si="3"/>
        <v>-26092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2.2351116E7</v>
      </c>
      <c r="E16" s="6">
        <v>653494.0</v>
      </c>
      <c r="F16" s="6">
        <f t="shared" si="1"/>
        <v>21697622</v>
      </c>
      <c r="G16" s="6">
        <v>1.9239167E7</v>
      </c>
      <c r="H16" s="6">
        <v>35.0</v>
      </c>
      <c r="I16" s="6">
        <v>0.0</v>
      </c>
      <c r="J16" s="6">
        <v>0.0</v>
      </c>
      <c r="K16" s="4">
        <f t="shared" si="2"/>
        <v>0</v>
      </c>
      <c r="L16" s="4">
        <f>I16+Jan!L16</f>
        <v>0</v>
      </c>
      <c r="M16" s="4">
        <f>J16+Jan!M16</f>
        <v>0</v>
      </c>
      <c r="N16" s="4">
        <f t="shared" si="3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9.4929385E8</v>
      </c>
      <c r="E17" s="6">
        <v>2.2894348E7</v>
      </c>
      <c r="F17" s="6">
        <f t="shared" si="1"/>
        <v>926399502</v>
      </c>
      <c r="G17" s="6">
        <v>9.39380229E8</v>
      </c>
      <c r="H17" s="6">
        <v>10374.0</v>
      </c>
      <c r="I17" s="6">
        <v>0.0</v>
      </c>
      <c r="J17" s="6">
        <v>7489189.0</v>
      </c>
      <c r="K17" s="4">
        <f t="shared" si="2"/>
        <v>-7489189</v>
      </c>
      <c r="L17" s="4">
        <f>I17+Jan!L17</f>
        <v>0</v>
      </c>
      <c r="M17" s="4">
        <f>J17+Jan!M17</f>
        <v>22836925</v>
      </c>
      <c r="N17" s="4">
        <f t="shared" si="3"/>
        <v>-22836925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2.952917109E9</v>
      </c>
      <c r="E18" s="6">
        <v>4.3247875E7</v>
      </c>
      <c r="F18" s="6">
        <f t="shared" si="1"/>
        <v>2909669234</v>
      </c>
      <c r="G18" s="6">
        <v>2.892320242E9</v>
      </c>
      <c r="H18" s="6">
        <v>9863.0</v>
      </c>
      <c r="I18" s="6">
        <v>0.0</v>
      </c>
      <c r="J18" s="6">
        <v>4.0639309E7</v>
      </c>
      <c r="K18" s="4">
        <f t="shared" si="2"/>
        <v>-40639309</v>
      </c>
      <c r="L18" s="4">
        <f>I18+Jan!L18</f>
        <v>0</v>
      </c>
      <c r="M18" s="4">
        <f>J18+Jan!M18</f>
        <v>64733324</v>
      </c>
      <c r="N18" s="4">
        <f t="shared" si="3"/>
        <v>-64733324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2.7067132909E9</v>
      </c>
      <c r="E19" s="6">
        <v>5.112771177E7</v>
      </c>
      <c r="F19" s="6">
        <f t="shared" si="1"/>
        <v>2655585579</v>
      </c>
      <c r="G19" s="6">
        <v>2.59089136303E9</v>
      </c>
      <c r="H19" s="6">
        <v>5155.0</v>
      </c>
      <c r="I19" s="6">
        <v>1.079562172E7</v>
      </c>
      <c r="J19" s="6">
        <v>9.595068664E7</v>
      </c>
      <c r="K19" s="4">
        <f t="shared" si="2"/>
        <v>-85155064.92</v>
      </c>
      <c r="L19" s="4">
        <f>I19+Jan!L19</f>
        <v>32059289.1</v>
      </c>
      <c r="M19" s="4">
        <f>J19+Jan!M19</f>
        <v>141736023.8</v>
      </c>
      <c r="N19" s="4">
        <f t="shared" si="3"/>
        <v>-109676734.7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8.65889033829E9</v>
      </c>
      <c r="E20" s="6">
        <v>1.153091849E8</v>
      </c>
      <c r="F20" s="6">
        <f t="shared" si="1"/>
        <v>8543581153</v>
      </c>
      <c r="G20" s="6">
        <v>8.13717733225E9</v>
      </c>
      <c r="H20" s="6">
        <v>30091.0</v>
      </c>
      <c r="I20" s="6">
        <v>1.028523299E7</v>
      </c>
      <c r="J20" s="6">
        <v>8.247508573E7</v>
      </c>
      <c r="K20" s="4">
        <f t="shared" si="2"/>
        <v>-72189852.74</v>
      </c>
      <c r="L20" s="4">
        <f>I20+Jan!L20</f>
        <v>20570465.98</v>
      </c>
      <c r="M20" s="4">
        <f>J20+Jan!M20</f>
        <v>164950171.5</v>
      </c>
      <c r="N20" s="4">
        <f t="shared" si="3"/>
        <v>-144379705.5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3.0646961453E8</v>
      </c>
      <c r="E21" s="6">
        <v>1001407.19</v>
      </c>
      <c r="F21" s="6">
        <f t="shared" si="1"/>
        <v>305468207.3</v>
      </c>
      <c r="G21" s="6">
        <v>3.0443687886E8</v>
      </c>
      <c r="H21" s="6">
        <v>869.0</v>
      </c>
      <c r="I21" s="6">
        <v>393524.1</v>
      </c>
      <c r="J21" s="6">
        <v>2.978491708E7</v>
      </c>
      <c r="K21" s="4">
        <f t="shared" si="2"/>
        <v>-29391392.98</v>
      </c>
      <c r="L21" s="4">
        <f>I21+Jan!L21</f>
        <v>678598.68</v>
      </c>
      <c r="M21" s="4">
        <f>J21+Jan!M21</f>
        <v>32378596.11</v>
      </c>
      <c r="N21" s="4">
        <f t="shared" si="3"/>
        <v>-31699997.43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3.11536376549E9</v>
      </c>
      <c r="E22" s="6">
        <v>2.216444857E7</v>
      </c>
      <c r="F22" s="6">
        <f t="shared" si="1"/>
        <v>3093199317</v>
      </c>
      <c r="G22" s="6">
        <v>3.06907642668E9</v>
      </c>
      <c r="H22" s="6">
        <v>21254.0</v>
      </c>
      <c r="I22" s="6">
        <v>3304246.13</v>
      </c>
      <c r="J22" s="6">
        <v>2.0213712505E8</v>
      </c>
      <c r="K22" s="4">
        <f t="shared" si="2"/>
        <v>-198832878.9</v>
      </c>
      <c r="L22" s="4">
        <f>I22+Jan!L22</f>
        <v>6587949.92</v>
      </c>
      <c r="M22" s="4">
        <f>J22+Jan!M22</f>
        <v>403122013.5</v>
      </c>
      <c r="N22" s="4">
        <f t="shared" si="3"/>
        <v>-396534063.6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5.456482389E9</v>
      </c>
      <c r="E23" s="6">
        <v>1.2826536E7</v>
      </c>
      <c r="F23" s="6">
        <f t="shared" si="1"/>
        <v>5443655853</v>
      </c>
      <c r="G23" s="6">
        <v>5.41477091E9</v>
      </c>
      <c r="H23" s="6">
        <v>11373.0</v>
      </c>
      <c r="I23" s="6">
        <v>779790.0</v>
      </c>
      <c r="J23" s="6">
        <v>1.23309036E8</v>
      </c>
      <c r="K23" s="4">
        <f t="shared" si="2"/>
        <v>-122529246</v>
      </c>
      <c r="L23" s="4">
        <f>I23+Jan!L23</f>
        <v>3305431</v>
      </c>
      <c r="M23" s="4">
        <f>J23+Jan!M23</f>
        <v>193456462</v>
      </c>
      <c r="N23" s="4">
        <f t="shared" si="3"/>
        <v>-190151031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3.82878929575E9</v>
      </c>
      <c r="E24" s="6">
        <v>5.022634889E7</v>
      </c>
      <c r="F24" s="6">
        <f t="shared" si="1"/>
        <v>3778562947</v>
      </c>
      <c r="G24" s="6">
        <v>3.56833032685E9</v>
      </c>
      <c r="H24" s="6">
        <v>11624.0</v>
      </c>
      <c r="I24" s="6">
        <v>294254.74</v>
      </c>
      <c r="J24" s="6">
        <v>9142988.38</v>
      </c>
      <c r="K24" s="4">
        <f t="shared" si="2"/>
        <v>-8848733.64</v>
      </c>
      <c r="L24" s="4">
        <f>I24+Jan!L24</f>
        <v>556907.6</v>
      </c>
      <c r="M24" s="4">
        <f>J24+Jan!M24</f>
        <v>11965167.68</v>
      </c>
      <c r="N24" s="4">
        <f t="shared" si="3"/>
        <v>-11408260.08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4.523408705E9</v>
      </c>
      <c r="E25" s="6">
        <v>6.627555E7</v>
      </c>
      <c r="F25" s="6">
        <f t="shared" si="1"/>
        <v>4457133155</v>
      </c>
      <c r="G25" s="6">
        <v>4.300845613E9</v>
      </c>
      <c r="H25" s="6">
        <v>67489.0</v>
      </c>
      <c r="I25" s="6">
        <v>7608969.0</v>
      </c>
      <c r="J25" s="6">
        <v>1.29802742E8</v>
      </c>
      <c r="K25" s="4">
        <f t="shared" si="2"/>
        <v>-122193773</v>
      </c>
      <c r="L25" s="4">
        <f>I25+Jan!L25</f>
        <v>21121099</v>
      </c>
      <c r="M25" s="4">
        <f>J25+Jan!M25</f>
        <v>262691170</v>
      </c>
      <c r="N25" s="4">
        <f t="shared" si="3"/>
        <v>-241570071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7.381946289E9</v>
      </c>
      <c r="E26" s="6">
        <v>6.0776258E7</v>
      </c>
      <c r="F26" s="6">
        <f t="shared" si="1"/>
        <v>7321170031</v>
      </c>
      <c r="G26" s="6">
        <v>7.28621849E9</v>
      </c>
      <c r="H26" s="6">
        <v>58522.0</v>
      </c>
      <c r="I26" s="6">
        <v>9444368.0</v>
      </c>
      <c r="J26" s="6">
        <v>1.63172801E8</v>
      </c>
      <c r="K26" s="4">
        <f t="shared" si="2"/>
        <v>-153728433</v>
      </c>
      <c r="L26" s="4">
        <f>I26+Jan!L26</f>
        <v>23927252</v>
      </c>
      <c r="M26" s="4">
        <f>J26+Jan!M26</f>
        <v>408513907</v>
      </c>
      <c r="N26" s="4">
        <f t="shared" si="3"/>
        <v>-384586655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5.6147379286E8</v>
      </c>
      <c r="E27" s="6">
        <v>2058816.66</v>
      </c>
      <c r="F27" s="6">
        <f t="shared" si="1"/>
        <v>559414976.2</v>
      </c>
      <c r="G27" s="6">
        <v>5.093238429E8</v>
      </c>
      <c r="H27" s="6">
        <v>1175.0</v>
      </c>
      <c r="I27" s="6">
        <v>141976.67</v>
      </c>
      <c r="J27" s="6">
        <v>301093.29</v>
      </c>
      <c r="K27" s="4">
        <f t="shared" si="2"/>
        <v>-159116.62</v>
      </c>
      <c r="L27" s="4">
        <f>I27+Jan!L27</f>
        <v>427295.53</v>
      </c>
      <c r="M27" s="4">
        <f>J27+Jan!M27</f>
        <v>771516.96</v>
      </c>
      <c r="N27" s="4">
        <f t="shared" si="3"/>
        <v>-344221.43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0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0"/>
      <c r="B29" s="2">
        <f>1+B27</f>
        <v>20</v>
      </c>
      <c r="C29" s="3" t="s">
        <v>41</v>
      </c>
      <c r="D29" s="6">
        <v>2.5619669533E8</v>
      </c>
      <c r="E29" s="6">
        <v>2846687.97</v>
      </c>
      <c r="F29" s="6">
        <f t="shared" ref="F29:F32" si="5">D29-E29</f>
        <v>253350007.4</v>
      </c>
      <c r="G29" s="6">
        <v>2.5502865947E8</v>
      </c>
      <c r="H29" s="6">
        <v>5195.0</v>
      </c>
      <c r="I29" s="6">
        <v>4900573.0</v>
      </c>
      <c r="J29" s="6">
        <v>1.135034072E7</v>
      </c>
      <c r="K29" s="4">
        <f t="shared" ref="K29:K32" si="6">I29-J29</f>
        <v>-6449767.72</v>
      </c>
      <c r="L29" s="4">
        <f>I29+Jan!L29</f>
        <v>11078953.43</v>
      </c>
      <c r="M29" s="4">
        <f>J29+Jan!M29</f>
        <v>41391374.78</v>
      </c>
      <c r="N29" s="4">
        <f t="shared" ref="N29:N32" si="7">L29-M29</f>
        <v>-30312421.35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0"/>
      <c r="B30" s="2">
        <f t="shared" ref="B30:B32" si="8">1+B29</f>
        <v>21</v>
      </c>
      <c r="C30" s="3" t="s">
        <v>42</v>
      </c>
      <c r="D30" s="6">
        <v>3.2552876295E8</v>
      </c>
      <c r="E30" s="6">
        <v>3335941.95</v>
      </c>
      <c r="F30" s="6">
        <f t="shared" si="5"/>
        <v>322192821</v>
      </c>
      <c r="G30" s="6">
        <v>2.404426765E8</v>
      </c>
      <c r="H30" s="6">
        <v>8510.0</v>
      </c>
      <c r="I30" s="6">
        <v>3451746.86</v>
      </c>
      <c r="J30" s="6">
        <v>1.111865718E7</v>
      </c>
      <c r="K30" s="4">
        <f t="shared" si="6"/>
        <v>-7666910.32</v>
      </c>
      <c r="L30" s="4">
        <f>I30+Jan!L30</f>
        <v>8347770.5</v>
      </c>
      <c r="M30" s="4">
        <f>J30+Jan!M30</f>
        <v>59115441.97</v>
      </c>
      <c r="N30" s="4">
        <f t="shared" si="7"/>
        <v>-50767671.47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2.1490906558E8</v>
      </c>
      <c r="E31" s="6">
        <v>2990476.13</v>
      </c>
      <c r="F31" s="6">
        <f t="shared" si="5"/>
        <v>211918589.5</v>
      </c>
      <c r="G31" s="6">
        <v>2.103081053E8</v>
      </c>
      <c r="H31" s="6">
        <v>1045.0</v>
      </c>
      <c r="I31" s="6">
        <v>168483.27</v>
      </c>
      <c r="J31" s="6">
        <v>3699126.0</v>
      </c>
      <c r="K31" s="4">
        <f t="shared" si="6"/>
        <v>-3530642.73</v>
      </c>
      <c r="L31" s="4">
        <f>I31+Jan!L31</f>
        <v>314992.6</v>
      </c>
      <c r="M31" s="4">
        <f>J31+Jan!M31</f>
        <v>6452822.94</v>
      </c>
      <c r="N31" s="4">
        <f t="shared" si="7"/>
        <v>-6137830.34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5.58979791E8</v>
      </c>
      <c r="E32" s="6">
        <v>4113835.0</v>
      </c>
      <c r="F32" s="6">
        <f t="shared" si="5"/>
        <v>554865956</v>
      </c>
      <c r="G32" s="6">
        <v>5.4984273E8</v>
      </c>
      <c r="H32" s="6">
        <v>799580.0</v>
      </c>
      <c r="I32" s="6">
        <v>1.5068268E7</v>
      </c>
      <c r="J32" s="6">
        <v>2.0407849E7</v>
      </c>
      <c r="K32" s="4">
        <f t="shared" si="6"/>
        <v>-5339581</v>
      </c>
      <c r="L32" s="4">
        <f>I32+Jan!L32</f>
        <v>23780577</v>
      </c>
      <c r="M32" s="4">
        <f>J32+Jan!M32</f>
        <v>97729204</v>
      </c>
      <c r="N32" s="4">
        <f t="shared" si="7"/>
        <v>-73948627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0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1.365982115E9</v>
      </c>
      <c r="E34" s="6">
        <v>2157787.0</v>
      </c>
      <c r="F34" s="6">
        <f>D34-E34</f>
        <v>1363824328</v>
      </c>
      <c r="G34" s="6">
        <v>1.364289439E9</v>
      </c>
      <c r="H34" s="6">
        <v>3234.0</v>
      </c>
      <c r="I34" s="6">
        <v>8414744.0</v>
      </c>
      <c r="J34" s="6">
        <v>4.8571714E7</v>
      </c>
      <c r="K34" s="4">
        <f>I34-J34</f>
        <v>-40156970</v>
      </c>
      <c r="L34" s="4">
        <f>I34+Jan!L34</f>
        <v>8414744</v>
      </c>
      <c r="M34" s="4">
        <f>J34+Jan!M34</f>
        <v>77125075</v>
      </c>
      <c r="N34" s="4">
        <f>L34-M34</f>
        <v>-68710331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46</v>
      </c>
      <c r="B35" s="25"/>
      <c r="C35" s="1"/>
      <c r="D35" s="26">
        <f t="shared" ref="D35:N35" si="9">SUM(D9:D34)</f>
        <v>52569703204</v>
      </c>
      <c r="E35" s="26">
        <f t="shared" si="9"/>
        <v>769399711.6</v>
      </c>
      <c r="F35" s="26">
        <f t="shared" si="9"/>
        <v>51800303493</v>
      </c>
      <c r="G35" s="26">
        <f t="shared" si="9"/>
        <v>50164847629</v>
      </c>
      <c r="H35" s="27">
        <f t="shared" si="9"/>
        <v>1075672</v>
      </c>
      <c r="I35" s="26">
        <f t="shared" si="9"/>
        <v>98207905.51</v>
      </c>
      <c r="J35" s="26">
        <f t="shared" si="9"/>
        <v>1095990972</v>
      </c>
      <c r="K35" s="26">
        <f t="shared" si="9"/>
        <v>-997783066.2</v>
      </c>
      <c r="L35" s="26">
        <f t="shared" si="9"/>
        <v>211028086</v>
      </c>
      <c r="M35" s="26">
        <f t="shared" si="9"/>
        <v>2353412843</v>
      </c>
      <c r="N35" s="26">
        <f t="shared" si="9"/>
        <v>-2142384757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0" t="s">
        <v>47</v>
      </c>
      <c r="B36" s="2"/>
      <c r="C36" s="3"/>
      <c r="D36" s="6"/>
      <c r="E36" s="6"/>
      <c r="F36" s="6"/>
      <c r="G36" s="6"/>
      <c r="H36" s="28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2.994933554E7</v>
      </c>
      <c r="E37" s="6">
        <v>345962.32</v>
      </c>
      <c r="F37" s="6">
        <f t="shared" ref="F37:F38" si="10">D37-E37</f>
        <v>29603373.22</v>
      </c>
      <c r="G37" s="6">
        <v>0.0</v>
      </c>
      <c r="H37" s="28">
        <v>43.0</v>
      </c>
      <c r="I37" s="6">
        <v>11488.02</v>
      </c>
      <c r="J37" s="6">
        <v>249258.69</v>
      </c>
      <c r="K37" s="4">
        <f t="shared" ref="K37:K38" si="11">I37-J37</f>
        <v>-237770.67</v>
      </c>
      <c r="L37" s="4">
        <f>I37+Jan!L37</f>
        <v>23219.41</v>
      </c>
      <c r="M37" s="4">
        <f>J37+Jan!M37</f>
        <v>4805385.86</v>
      </c>
      <c r="N37" s="4">
        <f t="shared" ref="N37:N38" si="12">L37-M37</f>
        <v>-4782166.45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2.502584706E9</v>
      </c>
      <c r="E38" s="6">
        <v>7.3412734E7</v>
      </c>
      <c r="F38" s="6">
        <f t="shared" si="10"/>
        <v>2429171972</v>
      </c>
      <c r="G38" s="6">
        <v>0.0</v>
      </c>
      <c r="H38" s="28">
        <v>3363.0</v>
      </c>
      <c r="I38" s="6">
        <v>1.12780395E8</v>
      </c>
      <c r="J38" s="6">
        <v>1.1569508E7</v>
      </c>
      <c r="K38" s="4">
        <f t="shared" si="11"/>
        <v>101210887</v>
      </c>
      <c r="L38" s="4">
        <f>I38+Jan!L38</f>
        <v>232027129</v>
      </c>
      <c r="M38" s="4">
        <f>J38+Jan!M38</f>
        <v>52635541</v>
      </c>
      <c r="N38" s="4">
        <f t="shared" si="12"/>
        <v>179391588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0" t="s">
        <v>109</v>
      </c>
      <c r="B39" s="2"/>
      <c r="C39" s="3"/>
      <c r="D39" s="6"/>
      <c r="E39" s="6"/>
      <c r="F39" s="6"/>
      <c r="G39" s="6"/>
      <c r="H39" s="28"/>
      <c r="I39" s="6"/>
      <c r="J39" s="6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3"/>
      <c r="B40" s="2">
        <f>1+B38</f>
        <v>27</v>
      </c>
      <c r="C40" s="3" t="s">
        <v>116</v>
      </c>
      <c r="D40" s="6">
        <v>495555.7</v>
      </c>
      <c r="E40" s="6">
        <v>0.0</v>
      </c>
      <c r="F40" s="6">
        <f>D40-E40</f>
        <v>495555.7</v>
      </c>
      <c r="G40" s="6">
        <v>0.0</v>
      </c>
      <c r="H40" s="28">
        <v>26.0</v>
      </c>
      <c r="I40" s="6">
        <v>495572.14</v>
      </c>
      <c r="J40" s="6">
        <v>0.0</v>
      </c>
      <c r="K40" s="4">
        <f>I40-J40</f>
        <v>495572.14</v>
      </c>
      <c r="L40" s="4">
        <f t="shared" ref="L40:M40" si="13">I40</f>
        <v>495572.14</v>
      </c>
      <c r="M40" s="4">
        <f t="shared" si="13"/>
        <v>0</v>
      </c>
      <c r="N40" s="4">
        <f>L40-M40</f>
        <v>495572.14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24" t="s">
        <v>50</v>
      </c>
      <c r="B41" s="25"/>
      <c r="C41" s="1"/>
      <c r="D41" s="26">
        <f t="shared" ref="D41:N41" si="14">SUM(D37:D38)+D40</f>
        <v>2533029597</v>
      </c>
      <c r="E41" s="26">
        <f t="shared" si="14"/>
        <v>73758696.32</v>
      </c>
      <c r="F41" s="26">
        <f t="shared" si="14"/>
        <v>2459270901</v>
      </c>
      <c r="G41" s="26">
        <f t="shared" si="14"/>
        <v>0</v>
      </c>
      <c r="H41" s="26">
        <f t="shared" si="14"/>
        <v>3432</v>
      </c>
      <c r="I41" s="26">
        <f t="shared" si="14"/>
        <v>113287455.2</v>
      </c>
      <c r="J41" s="26">
        <f t="shared" si="14"/>
        <v>11818766.69</v>
      </c>
      <c r="K41" s="26">
        <f t="shared" si="14"/>
        <v>101468688.5</v>
      </c>
      <c r="L41" s="26">
        <f t="shared" si="14"/>
        <v>232545920.6</v>
      </c>
      <c r="M41" s="26">
        <f t="shared" si="14"/>
        <v>57440926.86</v>
      </c>
      <c r="N41" s="26">
        <f t="shared" si="14"/>
        <v>175104993.7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2.0" customHeight="1">
      <c r="A42" s="1" t="s">
        <v>51</v>
      </c>
      <c r="B42" s="25"/>
      <c r="C42" s="1"/>
      <c r="D42" s="26">
        <f t="shared" ref="D42:N42" si="15">D35+D41</f>
        <v>55102732802</v>
      </c>
      <c r="E42" s="26">
        <f t="shared" si="15"/>
        <v>843158407.9</v>
      </c>
      <c r="F42" s="26">
        <f t="shared" si="15"/>
        <v>54259574394</v>
      </c>
      <c r="G42" s="26">
        <f t="shared" si="15"/>
        <v>50164847629</v>
      </c>
      <c r="H42" s="29">
        <f t="shared" si="15"/>
        <v>1079104</v>
      </c>
      <c r="I42" s="26">
        <f t="shared" si="15"/>
        <v>211495360.7</v>
      </c>
      <c r="J42" s="26">
        <f t="shared" si="15"/>
        <v>1107809738</v>
      </c>
      <c r="K42" s="26">
        <f t="shared" si="15"/>
        <v>-896314377.7</v>
      </c>
      <c r="L42" s="26">
        <f t="shared" si="15"/>
        <v>443574006.5</v>
      </c>
      <c r="M42" s="26">
        <f t="shared" si="15"/>
        <v>2410853770</v>
      </c>
      <c r="N42" s="26">
        <f t="shared" si="15"/>
        <v>-1967279764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2.0" customHeight="1">
      <c r="A43" s="1" t="s">
        <v>52</v>
      </c>
      <c r="B43" s="2"/>
      <c r="C43" s="3"/>
      <c r="D43" s="30"/>
      <c r="E43" s="30"/>
      <c r="F43" s="30"/>
      <c r="G43" s="30"/>
      <c r="H43" s="31"/>
      <c r="I43" s="30"/>
      <c r="J43" s="30"/>
      <c r="K43" s="30"/>
      <c r="L43" s="30"/>
      <c r="M43" s="30"/>
      <c r="N43" s="3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20" t="s">
        <v>20</v>
      </c>
      <c r="B44" s="2"/>
      <c r="C44" s="3"/>
      <c r="D44" s="6"/>
      <c r="E44" s="6"/>
      <c r="F44" s="6"/>
      <c r="G44" s="6"/>
      <c r="H44" s="32"/>
      <c r="I44" s="6"/>
      <c r="J44" s="4"/>
      <c r="K44" s="4"/>
      <c r="L44" s="4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>1+B40</f>
        <v>28</v>
      </c>
      <c r="C45" s="3" t="s">
        <v>53</v>
      </c>
      <c r="D45" s="6">
        <v>3.9654216784E8</v>
      </c>
      <c r="E45" s="4">
        <v>1133095.13</v>
      </c>
      <c r="F45" s="6">
        <f t="shared" ref="F45:F54" si="16">D45-E45</f>
        <v>395409072.7</v>
      </c>
      <c r="G45" s="6">
        <v>2.098468568E8</v>
      </c>
      <c r="H45" s="28">
        <v>2320.0</v>
      </c>
      <c r="I45" s="6">
        <v>490945.49</v>
      </c>
      <c r="J45" s="6">
        <v>5293097.31</v>
      </c>
      <c r="K45" s="4">
        <f t="shared" ref="K45:K54" si="17">I45-J45</f>
        <v>-4802151.82</v>
      </c>
      <c r="L45" s="4">
        <f>I45+Jan!L43</f>
        <v>979245.3</v>
      </c>
      <c r="M45" s="4">
        <f>J45+Jan!M43</f>
        <v>10272186.33</v>
      </c>
      <c r="N45" s="4">
        <f t="shared" ref="N45:N54" si="18">L45-M45</f>
        <v>-9292941.03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ref="B46:B54" si="19">1+B45</f>
        <v>29</v>
      </c>
      <c r="C46" s="3" t="s">
        <v>54</v>
      </c>
      <c r="D46" s="6">
        <v>1.1699287287E8</v>
      </c>
      <c r="E46" s="4">
        <v>228982.01</v>
      </c>
      <c r="F46" s="6">
        <f t="shared" si="16"/>
        <v>116763890.9</v>
      </c>
      <c r="G46" s="6">
        <v>3.23376217E7</v>
      </c>
      <c r="H46" s="28">
        <v>850.0</v>
      </c>
      <c r="I46" s="6">
        <v>179113.49</v>
      </c>
      <c r="J46" s="6">
        <v>1646980.34</v>
      </c>
      <c r="K46" s="4">
        <f t="shared" si="17"/>
        <v>-1467866.85</v>
      </c>
      <c r="L46" s="4">
        <f>I46+Jan!L44</f>
        <v>811012.36</v>
      </c>
      <c r="M46" s="4">
        <f>J46+Jan!M44</f>
        <v>3322278.96</v>
      </c>
      <c r="N46" s="4">
        <f t="shared" si="18"/>
        <v>-2511266.6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9"/>
        <v>30</v>
      </c>
      <c r="C47" s="3" t="s">
        <v>55</v>
      </c>
      <c r="D47" s="6">
        <v>5.76401023E8</v>
      </c>
      <c r="E47" s="4">
        <v>2468913.0</v>
      </c>
      <c r="F47" s="6">
        <f t="shared" si="16"/>
        <v>573932110</v>
      </c>
      <c r="G47" s="6">
        <v>3.04741794E8</v>
      </c>
      <c r="H47" s="28">
        <v>4521.0</v>
      </c>
      <c r="I47" s="6">
        <v>322767.0</v>
      </c>
      <c r="J47" s="6">
        <v>8814729.0</v>
      </c>
      <c r="K47" s="4">
        <f t="shared" si="17"/>
        <v>-8491962</v>
      </c>
      <c r="L47" s="4">
        <f>I47+Jan!L45</f>
        <v>873666</v>
      </c>
      <c r="M47" s="4">
        <f>J47+Jan!M45</f>
        <v>17077743</v>
      </c>
      <c r="N47" s="4">
        <f t="shared" si="18"/>
        <v>-16204077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9"/>
        <v>31</v>
      </c>
      <c r="C48" s="3" t="s">
        <v>56</v>
      </c>
      <c r="D48" s="6">
        <v>4.76714968E8</v>
      </c>
      <c r="E48" s="4">
        <v>1587680.0</v>
      </c>
      <c r="F48" s="6">
        <f t="shared" si="16"/>
        <v>475127288</v>
      </c>
      <c r="G48" s="6">
        <v>2.50350982E8</v>
      </c>
      <c r="H48" s="28">
        <v>582.0</v>
      </c>
      <c r="I48" s="6">
        <v>1.1118609E7</v>
      </c>
      <c r="J48" s="6">
        <v>1421986.0</v>
      </c>
      <c r="K48" s="4">
        <f t="shared" si="17"/>
        <v>9696623</v>
      </c>
      <c r="L48" s="4">
        <f>I48+Jan!L46</f>
        <v>17299307</v>
      </c>
      <c r="M48" s="4">
        <f>J48+Jan!M46</f>
        <v>2969117</v>
      </c>
      <c r="N48" s="4">
        <f t="shared" si="18"/>
        <v>14330190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9"/>
        <v>32</v>
      </c>
      <c r="C49" s="3" t="s">
        <v>57</v>
      </c>
      <c r="D49" s="6">
        <v>3.36673897E8</v>
      </c>
      <c r="E49" s="4">
        <v>2232667.0</v>
      </c>
      <c r="F49" s="6">
        <f t="shared" si="16"/>
        <v>334441230</v>
      </c>
      <c r="G49" s="6">
        <v>1.70249971E8</v>
      </c>
      <c r="H49" s="28">
        <v>45.0</v>
      </c>
      <c r="I49" s="6">
        <v>0.0</v>
      </c>
      <c r="J49" s="6">
        <v>0.0</v>
      </c>
      <c r="K49" s="4">
        <f t="shared" si="17"/>
        <v>0</v>
      </c>
      <c r="L49" s="4">
        <f>I49+Jan!L47</f>
        <v>0</v>
      </c>
      <c r="M49" s="4">
        <f>J49+Jan!M47</f>
        <v>0</v>
      </c>
      <c r="N49" s="4">
        <f t="shared" si="18"/>
        <v>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f t="shared" si="19"/>
        <v>33</v>
      </c>
      <c r="C50" s="3" t="s">
        <v>58</v>
      </c>
      <c r="D50" s="6">
        <v>4.15347264E8</v>
      </c>
      <c r="E50" s="4">
        <v>5089125.0</v>
      </c>
      <c r="F50" s="6">
        <f t="shared" si="16"/>
        <v>410258139</v>
      </c>
      <c r="G50" s="6">
        <v>2.1142649E8</v>
      </c>
      <c r="H50" s="28">
        <v>9367.0</v>
      </c>
      <c r="I50" s="6">
        <v>5910.0</v>
      </c>
      <c r="J50" s="6">
        <v>2644947.0</v>
      </c>
      <c r="K50" s="4">
        <f t="shared" si="17"/>
        <v>-2639037</v>
      </c>
      <c r="L50" s="4">
        <f>I50+Jan!L48</f>
        <v>39920</v>
      </c>
      <c r="M50" s="4">
        <f>J50+Jan!M48</f>
        <v>4892896</v>
      </c>
      <c r="N50" s="4">
        <f t="shared" si="18"/>
        <v>-4852976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9"/>
        <v>34</v>
      </c>
      <c r="C51" s="3" t="s">
        <v>59</v>
      </c>
      <c r="D51" s="6">
        <v>1.732834208E9</v>
      </c>
      <c r="E51" s="4">
        <v>2.4767024E7</v>
      </c>
      <c r="F51" s="6">
        <f t="shared" si="16"/>
        <v>1708067184</v>
      </c>
      <c r="G51" s="6">
        <v>8.80636347E8</v>
      </c>
      <c r="H51" s="28">
        <v>6597.0</v>
      </c>
      <c r="I51" s="6">
        <v>1344883.0</v>
      </c>
      <c r="J51" s="6">
        <v>2.3086629E7</v>
      </c>
      <c r="K51" s="4">
        <f t="shared" si="17"/>
        <v>-21741746</v>
      </c>
      <c r="L51" s="4">
        <f>I51+Jan!L49</f>
        <v>1671808</v>
      </c>
      <c r="M51" s="4">
        <f>J51+Jan!M49</f>
        <v>35053732</v>
      </c>
      <c r="N51" s="4">
        <f t="shared" si="18"/>
        <v>-33381924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1.25" customHeight="1">
      <c r="A52" s="20"/>
      <c r="B52" s="2">
        <f t="shared" si="19"/>
        <v>35</v>
      </c>
      <c r="C52" s="3" t="s">
        <v>60</v>
      </c>
      <c r="D52" s="6">
        <v>1.19371502E8</v>
      </c>
      <c r="E52" s="4">
        <v>142278.0</v>
      </c>
      <c r="F52" s="6">
        <f t="shared" si="16"/>
        <v>119229224</v>
      </c>
      <c r="G52" s="6">
        <v>6.096406E7</v>
      </c>
      <c r="H52" s="28">
        <v>149.0</v>
      </c>
      <c r="I52" s="6">
        <v>0.0</v>
      </c>
      <c r="J52" s="6">
        <v>922888.0</v>
      </c>
      <c r="K52" s="4">
        <f t="shared" si="17"/>
        <v>-922888</v>
      </c>
      <c r="L52" s="4">
        <f>I52+Jan!L50</f>
        <v>0</v>
      </c>
      <c r="M52" s="4">
        <f>J52+Jan!M50</f>
        <v>1436602</v>
      </c>
      <c r="N52" s="4">
        <f t="shared" si="18"/>
        <v>-1436602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f t="shared" si="19"/>
        <v>36</v>
      </c>
      <c r="C53" s="3" t="s">
        <v>61</v>
      </c>
      <c r="D53" s="6">
        <v>5.01404415E9</v>
      </c>
      <c r="E53" s="4">
        <v>4.3218435E7</v>
      </c>
      <c r="F53" s="6">
        <f t="shared" si="16"/>
        <v>4970825715</v>
      </c>
      <c r="G53" s="6">
        <v>2.516123925E9</v>
      </c>
      <c r="H53" s="28">
        <v>54836.0</v>
      </c>
      <c r="I53" s="6">
        <v>4592784.0</v>
      </c>
      <c r="J53" s="6">
        <v>7.3122278E7</v>
      </c>
      <c r="K53" s="4">
        <f t="shared" si="17"/>
        <v>-68529494</v>
      </c>
      <c r="L53" s="4">
        <f>I53+Jan!L51</f>
        <v>9168677</v>
      </c>
      <c r="M53" s="4">
        <f>J53+Jan!M51</f>
        <v>143370914</v>
      </c>
      <c r="N53" s="4">
        <f t="shared" si="18"/>
        <v>-134202237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 t="shared" si="19"/>
        <v>37</v>
      </c>
      <c r="C54" s="3" t="s">
        <v>62</v>
      </c>
      <c r="D54" s="6">
        <v>4.53849324E8</v>
      </c>
      <c r="E54" s="4">
        <v>2504188.0</v>
      </c>
      <c r="F54" s="6">
        <f t="shared" si="16"/>
        <v>451345136</v>
      </c>
      <c r="G54" s="6">
        <v>2.34581313E8</v>
      </c>
      <c r="H54" s="28">
        <v>5003.0</v>
      </c>
      <c r="I54" s="6">
        <v>0.0</v>
      </c>
      <c r="J54" s="6">
        <v>6517746.0</v>
      </c>
      <c r="K54" s="4">
        <f t="shared" si="17"/>
        <v>-6517746</v>
      </c>
      <c r="L54" s="4">
        <f>I54+Jan!L52</f>
        <v>0</v>
      </c>
      <c r="M54" s="4">
        <f>J54+Jan!M52</f>
        <v>21868659</v>
      </c>
      <c r="N54" s="4">
        <f t="shared" si="18"/>
        <v>-21868659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0" t="s">
        <v>40</v>
      </c>
      <c r="B55" s="2"/>
      <c r="C55" s="3"/>
      <c r="D55" s="6"/>
      <c r="E55" s="4"/>
      <c r="F55" s="6"/>
      <c r="G55" s="6"/>
      <c r="H55" s="28"/>
      <c r="I55" s="6"/>
      <c r="J55" s="6"/>
      <c r="K55" s="4"/>
      <c r="L55" s="4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0"/>
      <c r="B56" s="2">
        <f>1+B54</f>
        <v>38</v>
      </c>
      <c r="C56" s="3" t="s">
        <v>117</v>
      </c>
      <c r="D56" s="6">
        <v>1.020498755E9</v>
      </c>
      <c r="E56" s="4">
        <v>3570154.0</v>
      </c>
      <c r="F56" s="6">
        <f t="shared" ref="F56:F59" si="20">D56-E56</f>
        <v>1016928601</v>
      </c>
      <c r="G56" s="6">
        <v>7.528008E7</v>
      </c>
      <c r="H56" s="28">
        <v>27426.0</v>
      </c>
      <c r="I56" s="6">
        <v>2.6393123E7</v>
      </c>
      <c r="J56" s="6">
        <v>6636181.0</v>
      </c>
      <c r="K56" s="4">
        <f t="shared" ref="K56:K59" si="21">I56-J56</f>
        <v>19756942</v>
      </c>
      <c r="L56" s="4">
        <f>I56+Jan!L54</f>
        <v>74026495</v>
      </c>
      <c r="M56" s="4">
        <f>J56+Jan!M54</f>
        <v>14821993</v>
      </c>
      <c r="N56" s="4">
        <f t="shared" ref="N56:N59" si="22">L56-M56</f>
        <v>59204502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3"/>
      <c r="B57" s="2">
        <f t="shared" ref="B57:B59" si="23">1+B56</f>
        <v>39</v>
      </c>
      <c r="C57" s="3" t="s">
        <v>64</v>
      </c>
      <c r="D57" s="6">
        <v>6.928006E7</v>
      </c>
      <c r="E57" s="4">
        <v>482303.0</v>
      </c>
      <c r="F57" s="6">
        <f t="shared" si="20"/>
        <v>68797757</v>
      </c>
      <c r="G57" s="6">
        <v>1.1189025E7</v>
      </c>
      <c r="H57" s="28">
        <v>1279.0</v>
      </c>
      <c r="I57" s="6">
        <v>38000.0</v>
      </c>
      <c r="J57" s="6">
        <v>1093529.0</v>
      </c>
      <c r="K57" s="4">
        <f t="shared" si="21"/>
        <v>-1055529</v>
      </c>
      <c r="L57" s="4">
        <f>I57+Jan!L55</f>
        <v>96000</v>
      </c>
      <c r="M57" s="4">
        <f>J57+Jan!M55</f>
        <v>2266432</v>
      </c>
      <c r="N57" s="4">
        <f t="shared" si="22"/>
        <v>-2170432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3"/>
      <c r="B58" s="2">
        <f t="shared" si="23"/>
        <v>40</v>
      </c>
      <c r="C58" s="3" t="s">
        <v>65</v>
      </c>
      <c r="D58" s="6">
        <v>5.4645178E7</v>
      </c>
      <c r="E58" s="4">
        <v>330010.0</v>
      </c>
      <c r="F58" s="6">
        <f t="shared" si="20"/>
        <v>54315168</v>
      </c>
      <c r="G58" s="6">
        <v>3.7778736E7</v>
      </c>
      <c r="H58" s="28">
        <v>520.0</v>
      </c>
      <c r="I58" s="6">
        <v>10500.0</v>
      </c>
      <c r="J58" s="6">
        <v>183870.0</v>
      </c>
      <c r="K58" s="4">
        <f t="shared" si="21"/>
        <v>-173370</v>
      </c>
      <c r="L58" s="4">
        <f>I58+Jan!L56</f>
        <v>20000</v>
      </c>
      <c r="M58" s="4">
        <f>J58+Jan!M56</f>
        <v>417706</v>
      </c>
      <c r="N58" s="4">
        <f t="shared" si="22"/>
        <v>-397706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f t="shared" si="23"/>
        <v>41</v>
      </c>
      <c r="C59" s="3" t="s">
        <v>66</v>
      </c>
      <c r="D59" s="6">
        <v>5.0311103E7</v>
      </c>
      <c r="E59" s="4">
        <v>237695.0</v>
      </c>
      <c r="F59" s="6">
        <f t="shared" si="20"/>
        <v>50073408</v>
      </c>
      <c r="G59" s="6">
        <v>4.1549266E7</v>
      </c>
      <c r="H59" s="28">
        <v>257.0</v>
      </c>
      <c r="I59" s="6">
        <v>8000.0</v>
      </c>
      <c r="J59" s="6">
        <v>302360.0</v>
      </c>
      <c r="K59" s="4">
        <f t="shared" si="21"/>
        <v>-294360</v>
      </c>
      <c r="L59" s="4">
        <f>I59+Jan!L57</f>
        <v>24000</v>
      </c>
      <c r="M59" s="4">
        <f>J59+Jan!M57</f>
        <v>512861</v>
      </c>
      <c r="N59" s="4">
        <f t="shared" si="22"/>
        <v>-488861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4" t="s">
        <v>46</v>
      </c>
      <c r="B60" s="24"/>
      <c r="C60" s="1"/>
      <c r="D60" s="26">
        <f t="shared" ref="D60:N60" si="24">SUM(D45:D59)</f>
        <v>10833506473</v>
      </c>
      <c r="E60" s="26">
        <f t="shared" si="24"/>
        <v>87992549.14</v>
      </c>
      <c r="F60" s="26">
        <f t="shared" si="24"/>
        <v>10745513924</v>
      </c>
      <c r="G60" s="26">
        <f t="shared" si="24"/>
        <v>5037056468</v>
      </c>
      <c r="H60" s="26">
        <f t="shared" si="24"/>
        <v>113752</v>
      </c>
      <c r="I60" s="26">
        <f t="shared" si="24"/>
        <v>44504634.98</v>
      </c>
      <c r="J60" s="26">
        <f t="shared" si="24"/>
        <v>131687220.7</v>
      </c>
      <c r="K60" s="26">
        <f t="shared" si="24"/>
        <v>-87182585.67</v>
      </c>
      <c r="L60" s="26">
        <f t="shared" si="24"/>
        <v>105010130.7</v>
      </c>
      <c r="M60" s="26">
        <f t="shared" si="24"/>
        <v>258283120.3</v>
      </c>
      <c r="N60" s="26">
        <f t="shared" si="24"/>
        <v>-153272989.6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2.0" customHeight="1">
      <c r="A61" s="20" t="s">
        <v>47</v>
      </c>
      <c r="B61" s="2"/>
      <c r="C61" s="3"/>
      <c r="D61" s="6"/>
      <c r="E61" s="6"/>
      <c r="F61" s="6"/>
      <c r="G61" s="6"/>
      <c r="H61" s="32"/>
      <c r="I61" s="6"/>
      <c r="J61" s="4"/>
      <c r="K61" s="4"/>
      <c r="L61" s="4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0"/>
      <c r="B62" s="2">
        <f>1+B59</f>
        <v>42</v>
      </c>
      <c r="C62" s="3" t="s">
        <v>67</v>
      </c>
      <c r="D62" s="6">
        <v>7.085139856E7</v>
      </c>
      <c r="E62" s="6">
        <v>305388.07</v>
      </c>
      <c r="F62" s="6">
        <f t="shared" ref="F62:F65" si="25">D62-E62</f>
        <v>70546010.49</v>
      </c>
      <c r="G62" s="6">
        <v>0.0</v>
      </c>
      <c r="H62" s="28">
        <v>49.0</v>
      </c>
      <c r="I62" s="6">
        <v>0.0</v>
      </c>
      <c r="J62" s="6">
        <v>0.0</v>
      </c>
      <c r="K62" s="4">
        <f t="shared" ref="K62:K65" si="26">I62-J62</f>
        <v>0</v>
      </c>
      <c r="L62" s="4">
        <f>I62+Jan!L60</f>
        <v>0</v>
      </c>
      <c r="M62" s="4">
        <f>J62+Jan!M60</f>
        <v>0</v>
      </c>
      <c r="N62" s="4">
        <f t="shared" ref="N62:N65" si="27">L62-M62</f>
        <v>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0"/>
      <c r="B63" s="2">
        <f t="shared" ref="B63:B65" si="28">1+B62</f>
        <v>43</v>
      </c>
      <c r="C63" s="3" t="s">
        <v>68</v>
      </c>
      <c r="D63" s="6">
        <v>3.38808814E8</v>
      </c>
      <c r="E63" s="6">
        <v>628487.0</v>
      </c>
      <c r="F63" s="6">
        <f t="shared" si="25"/>
        <v>338180327</v>
      </c>
      <c r="G63" s="6">
        <v>1.80016162E8</v>
      </c>
      <c r="H63" s="28">
        <v>195.0</v>
      </c>
      <c r="I63" s="6">
        <v>0.0</v>
      </c>
      <c r="J63" s="6">
        <v>1707612.0</v>
      </c>
      <c r="K63" s="4">
        <f t="shared" si="26"/>
        <v>-1707612</v>
      </c>
      <c r="L63" s="4">
        <f>I63+Jan!L61</f>
        <v>0</v>
      </c>
      <c r="M63" s="4">
        <f>J63+Jan!M61</f>
        <v>5869644</v>
      </c>
      <c r="N63" s="4">
        <f t="shared" si="27"/>
        <v>-5869644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3"/>
      <c r="B64" s="2">
        <f t="shared" si="28"/>
        <v>44</v>
      </c>
      <c r="C64" s="3" t="s">
        <v>69</v>
      </c>
      <c r="D64" s="6">
        <v>1.795327392E9</v>
      </c>
      <c r="E64" s="6">
        <v>6.2318985E7</v>
      </c>
      <c r="F64" s="6">
        <f t="shared" si="25"/>
        <v>1733008407</v>
      </c>
      <c r="G64" s="6">
        <v>0.0</v>
      </c>
      <c r="H64" s="28">
        <v>4356.0</v>
      </c>
      <c r="I64" s="6">
        <v>5070688.0</v>
      </c>
      <c r="J64" s="6">
        <v>3.2629035E7</v>
      </c>
      <c r="K64" s="4">
        <f t="shared" si="26"/>
        <v>-27558347</v>
      </c>
      <c r="L64" s="4">
        <f>I64+Jan!L62</f>
        <v>9039325</v>
      </c>
      <c r="M64" s="4">
        <f>J64+Jan!M62</f>
        <v>102468759</v>
      </c>
      <c r="N64" s="4">
        <f t="shared" si="27"/>
        <v>-93429434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f t="shared" si="28"/>
        <v>45</v>
      </c>
      <c r="C65" s="3" t="s">
        <v>70</v>
      </c>
      <c r="D65" s="6">
        <v>2.23983751E8</v>
      </c>
      <c r="E65" s="6">
        <v>1.148365E7</v>
      </c>
      <c r="F65" s="6">
        <f t="shared" si="25"/>
        <v>212500101</v>
      </c>
      <c r="G65" s="6">
        <v>0.0</v>
      </c>
      <c r="H65" s="28">
        <v>783.0</v>
      </c>
      <c r="I65" s="6">
        <v>57915.0</v>
      </c>
      <c r="J65" s="6">
        <v>6080551.0</v>
      </c>
      <c r="K65" s="4">
        <f t="shared" si="26"/>
        <v>-6022636</v>
      </c>
      <c r="L65" s="4">
        <f>I65+Jan!L63</f>
        <v>265719</v>
      </c>
      <c r="M65" s="4">
        <f>J65+Jan!M63</f>
        <v>10971100</v>
      </c>
      <c r="N65" s="4">
        <f t="shared" si="27"/>
        <v>-10705381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4" t="s">
        <v>50</v>
      </c>
      <c r="B66" s="25"/>
      <c r="C66" s="1"/>
      <c r="D66" s="26">
        <f t="shared" ref="D66:N66" si="29">SUM(D62:D65)</f>
        <v>2428971356</v>
      </c>
      <c r="E66" s="26">
        <f t="shared" si="29"/>
        <v>74736510.07</v>
      </c>
      <c r="F66" s="26">
        <f t="shared" si="29"/>
        <v>2354234845</v>
      </c>
      <c r="G66" s="26">
        <f t="shared" si="29"/>
        <v>180016162</v>
      </c>
      <c r="H66" s="27">
        <f t="shared" si="29"/>
        <v>5383</v>
      </c>
      <c r="I66" s="26">
        <f t="shared" si="29"/>
        <v>5128603</v>
      </c>
      <c r="J66" s="26">
        <f t="shared" si="29"/>
        <v>40417198</v>
      </c>
      <c r="K66" s="26">
        <f t="shared" si="29"/>
        <v>-35288595</v>
      </c>
      <c r="L66" s="26">
        <f t="shared" si="29"/>
        <v>9305044</v>
      </c>
      <c r="M66" s="26">
        <f t="shared" si="29"/>
        <v>119309503</v>
      </c>
      <c r="N66" s="26">
        <f t="shared" si="29"/>
        <v>-110004459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2.0" customHeight="1">
      <c r="A67" s="1" t="s">
        <v>71</v>
      </c>
      <c r="B67" s="25"/>
      <c r="C67" s="1"/>
      <c r="D67" s="26">
        <f t="shared" ref="D67:N67" si="30">D60+D66</f>
        <v>13262477828</v>
      </c>
      <c r="E67" s="26">
        <f t="shared" si="30"/>
        <v>162729059.2</v>
      </c>
      <c r="F67" s="26">
        <f t="shared" si="30"/>
        <v>13099748769</v>
      </c>
      <c r="G67" s="26">
        <f t="shared" si="30"/>
        <v>5217072630</v>
      </c>
      <c r="H67" s="27">
        <f t="shared" si="30"/>
        <v>119135</v>
      </c>
      <c r="I67" s="26">
        <f t="shared" si="30"/>
        <v>49633237.98</v>
      </c>
      <c r="J67" s="26">
        <f t="shared" si="30"/>
        <v>172104418.7</v>
      </c>
      <c r="K67" s="26">
        <f t="shared" si="30"/>
        <v>-122471180.7</v>
      </c>
      <c r="L67" s="26">
        <f t="shared" si="30"/>
        <v>114315174.7</v>
      </c>
      <c r="M67" s="26">
        <f t="shared" si="30"/>
        <v>377592623.3</v>
      </c>
      <c r="N67" s="26">
        <f t="shared" si="30"/>
        <v>-263277448.6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2.0" customHeight="1">
      <c r="A68" s="1" t="s">
        <v>72</v>
      </c>
      <c r="B68" s="2"/>
      <c r="C68" s="3"/>
      <c r="D68" s="6"/>
      <c r="E68" s="6"/>
      <c r="F68" s="6"/>
      <c r="G68" s="6"/>
      <c r="H68" s="28"/>
      <c r="I68" s="6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20" t="s">
        <v>20</v>
      </c>
      <c r="B69" s="2"/>
      <c r="C69" s="3"/>
      <c r="D69" s="6"/>
      <c r="E69" s="6"/>
      <c r="F69" s="6"/>
      <c r="G69" s="6"/>
      <c r="H69" s="32"/>
      <c r="I69" s="6"/>
      <c r="J69" s="4"/>
      <c r="K69" s="4"/>
      <c r="L69" s="4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f>1+B65</f>
        <v>46</v>
      </c>
      <c r="C70" s="3" t="s">
        <v>73</v>
      </c>
      <c r="D70" s="6">
        <v>3.4895713674E10</v>
      </c>
      <c r="E70" s="6">
        <v>1.94834094E8</v>
      </c>
      <c r="F70" s="6">
        <f t="shared" ref="F70:F80" si="31">D70-E70</f>
        <v>34700879580</v>
      </c>
      <c r="G70" s="6">
        <v>3.6E8</v>
      </c>
      <c r="H70" s="28">
        <v>24693.0</v>
      </c>
      <c r="I70" s="6">
        <v>2.34658348E8</v>
      </c>
      <c r="J70" s="6">
        <v>2.91718039E8</v>
      </c>
      <c r="K70" s="4">
        <f t="shared" ref="K70:K80" si="32">I70-J70</f>
        <v>-57059691</v>
      </c>
      <c r="L70" s="4">
        <f>I70+Jan!L68</f>
        <v>432168098</v>
      </c>
      <c r="M70" s="4">
        <f>J70+Jan!M68</f>
        <v>559745744</v>
      </c>
      <c r="N70" s="4">
        <f t="shared" ref="N70:N80" si="33">L70-M70</f>
        <v>-127577646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ref="B71:B80" si="34">1+B70</f>
        <v>47</v>
      </c>
      <c r="C71" s="3" t="s">
        <v>74</v>
      </c>
      <c r="D71" s="6">
        <v>2.4154316569E8</v>
      </c>
      <c r="E71" s="6">
        <v>1.378089918E7</v>
      </c>
      <c r="F71" s="6">
        <f t="shared" si="31"/>
        <v>227762266.5</v>
      </c>
      <c r="G71" s="6">
        <v>0.0</v>
      </c>
      <c r="H71" s="28">
        <v>882.0</v>
      </c>
      <c r="I71" s="6">
        <v>432997.91</v>
      </c>
      <c r="J71" s="6">
        <v>1.337216774E7</v>
      </c>
      <c r="K71" s="4">
        <f t="shared" si="32"/>
        <v>-12939169.83</v>
      </c>
      <c r="L71" s="4">
        <f>I71+Jan!L69</f>
        <v>685058.61</v>
      </c>
      <c r="M71" s="4">
        <f>J71+Jan!M69</f>
        <v>15500537.5</v>
      </c>
      <c r="N71" s="4">
        <f t="shared" si="33"/>
        <v>-14815478.89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48</v>
      </c>
      <c r="C72" s="3" t="s">
        <v>75</v>
      </c>
      <c r="D72" s="6">
        <v>9.2706056506E8</v>
      </c>
      <c r="E72" s="6">
        <v>8765139.1</v>
      </c>
      <c r="F72" s="6">
        <f t="shared" si="31"/>
        <v>918295426</v>
      </c>
      <c r="G72" s="6">
        <v>0.0</v>
      </c>
      <c r="H72" s="28">
        <v>1764.0</v>
      </c>
      <c r="I72" s="6">
        <v>3845387.24</v>
      </c>
      <c r="J72" s="6">
        <v>1.09953164E7</v>
      </c>
      <c r="K72" s="4">
        <f t="shared" si="32"/>
        <v>-7149929.16</v>
      </c>
      <c r="L72" s="4">
        <f>I72+Jan!L70</f>
        <v>9376609.08</v>
      </c>
      <c r="M72" s="4">
        <f>J72+Jan!M70</f>
        <v>24740498.93</v>
      </c>
      <c r="N72" s="4">
        <f t="shared" si="33"/>
        <v>-15363889.85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1"/>
      <c r="B73" s="2">
        <f t="shared" si="34"/>
        <v>49</v>
      </c>
      <c r="C73" s="3" t="s">
        <v>76</v>
      </c>
      <c r="D73" s="6">
        <v>1.72992748E8</v>
      </c>
      <c r="E73" s="6">
        <v>144302.0</v>
      </c>
      <c r="F73" s="6">
        <f t="shared" si="31"/>
        <v>172848446</v>
      </c>
      <c r="G73" s="6">
        <v>0.0</v>
      </c>
      <c r="H73" s="28">
        <v>127.0</v>
      </c>
      <c r="I73" s="6">
        <v>0.0</v>
      </c>
      <c r="J73" s="6">
        <v>118247.0</v>
      </c>
      <c r="K73" s="4">
        <f t="shared" si="32"/>
        <v>-118247</v>
      </c>
      <c r="L73" s="4">
        <f>I73+Jan!L71</f>
        <v>0</v>
      </c>
      <c r="M73" s="4">
        <f>J73+Jan!M71</f>
        <v>118247</v>
      </c>
      <c r="N73" s="4">
        <f t="shared" si="33"/>
        <v>-118247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50</v>
      </c>
      <c r="C74" s="3" t="s">
        <v>77</v>
      </c>
      <c r="D74" s="6">
        <v>7.22452764E8</v>
      </c>
      <c r="E74" s="6">
        <v>4433481.0</v>
      </c>
      <c r="F74" s="6">
        <f t="shared" si="31"/>
        <v>718019283</v>
      </c>
      <c r="G74" s="6">
        <v>0.0</v>
      </c>
      <c r="H74" s="28">
        <v>1642.0</v>
      </c>
      <c r="I74" s="6">
        <v>1944163.0</v>
      </c>
      <c r="J74" s="6">
        <v>1.0110035E7</v>
      </c>
      <c r="K74" s="4">
        <f t="shared" si="32"/>
        <v>-8165872</v>
      </c>
      <c r="L74" s="4">
        <f>I74+Jan!L72</f>
        <v>2555402</v>
      </c>
      <c r="M74" s="4">
        <f>J74+Jan!M72</f>
        <v>34812835</v>
      </c>
      <c r="N74" s="4">
        <f t="shared" si="33"/>
        <v>-32257433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51</v>
      </c>
      <c r="C75" s="3" t="s">
        <v>78</v>
      </c>
      <c r="D75" s="6">
        <v>1.338118211E9</v>
      </c>
      <c r="E75" s="6">
        <v>3.0619596E7</v>
      </c>
      <c r="F75" s="6">
        <f t="shared" si="31"/>
        <v>1307498615</v>
      </c>
      <c r="G75" s="6">
        <v>0.0</v>
      </c>
      <c r="H75" s="28">
        <v>4316.0</v>
      </c>
      <c r="I75" s="6">
        <v>868259.0</v>
      </c>
      <c r="J75" s="6">
        <v>1.4399431E7</v>
      </c>
      <c r="K75" s="4">
        <f t="shared" si="32"/>
        <v>-13531172</v>
      </c>
      <c r="L75" s="4">
        <f>I75+Jan!L73</f>
        <v>3372220</v>
      </c>
      <c r="M75" s="4">
        <f>J75+Jan!M73</f>
        <v>19993986</v>
      </c>
      <c r="N75" s="4">
        <f t="shared" si="33"/>
        <v>-16621766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52</v>
      </c>
      <c r="C76" s="3" t="s">
        <v>79</v>
      </c>
      <c r="D76" s="6">
        <v>4.94959606E8</v>
      </c>
      <c r="E76" s="6">
        <v>9910404.0</v>
      </c>
      <c r="F76" s="6">
        <f t="shared" si="31"/>
        <v>485049202</v>
      </c>
      <c r="G76" s="6">
        <v>0.0</v>
      </c>
      <c r="H76" s="28">
        <v>364.0</v>
      </c>
      <c r="I76" s="6">
        <v>0.0</v>
      </c>
      <c r="J76" s="6">
        <v>763232.0</v>
      </c>
      <c r="K76" s="4">
        <f t="shared" si="32"/>
        <v>-763232</v>
      </c>
      <c r="L76" s="4">
        <f>I76+Jan!L74</f>
        <v>0</v>
      </c>
      <c r="M76" s="4">
        <f>J76+Jan!M74</f>
        <v>2419823</v>
      </c>
      <c r="N76" s="4">
        <f t="shared" si="33"/>
        <v>-2419823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53</v>
      </c>
      <c r="C77" s="3" t="s">
        <v>80</v>
      </c>
      <c r="D77" s="6">
        <v>2.8782054742E8</v>
      </c>
      <c r="E77" s="6">
        <v>1894385.83</v>
      </c>
      <c r="F77" s="6">
        <f t="shared" si="31"/>
        <v>285926161.6</v>
      </c>
      <c r="G77" s="6">
        <v>0.0</v>
      </c>
      <c r="H77" s="28">
        <v>3990.0</v>
      </c>
      <c r="I77" s="6">
        <v>2494829.64</v>
      </c>
      <c r="J77" s="6">
        <v>600894.91</v>
      </c>
      <c r="K77" s="4">
        <f t="shared" si="32"/>
        <v>1893934.73</v>
      </c>
      <c r="L77" s="4">
        <f>I77+Jan!L75</f>
        <v>5457241.97</v>
      </c>
      <c r="M77" s="4">
        <f>J77+Jan!M75</f>
        <v>2040282.59</v>
      </c>
      <c r="N77" s="4">
        <f t="shared" si="33"/>
        <v>3416959.38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f t="shared" si="34"/>
        <v>54</v>
      </c>
      <c r="C78" s="3" t="s">
        <v>81</v>
      </c>
      <c r="D78" s="6">
        <v>2.04863029282E9</v>
      </c>
      <c r="E78" s="6">
        <v>3166979.48</v>
      </c>
      <c r="F78" s="6">
        <f t="shared" si="31"/>
        <v>2045463313</v>
      </c>
      <c r="G78" s="6">
        <v>0.0</v>
      </c>
      <c r="H78" s="28">
        <v>750.0</v>
      </c>
      <c r="I78" s="6">
        <v>5.003580415E7</v>
      </c>
      <c r="J78" s="6">
        <v>2128019.44</v>
      </c>
      <c r="K78" s="4">
        <f t="shared" si="32"/>
        <v>47907784.71</v>
      </c>
      <c r="L78" s="4">
        <f>I78+Jan!L76</f>
        <v>101089191.2</v>
      </c>
      <c r="M78" s="4">
        <f>J78+Jan!M76</f>
        <v>4271525.5</v>
      </c>
      <c r="N78" s="4">
        <f t="shared" si="33"/>
        <v>96817665.67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 t="shared" si="34"/>
        <v>55</v>
      </c>
      <c r="C79" s="3" t="s">
        <v>82</v>
      </c>
      <c r="D79" s="6">
        <v>6.395148282E9</v>
      </c>
      <c r="E79" s="6">
        <v>3.9614457E7</v>
      </c>
      <c r="F79" s="6">
        <f t="shared" si="31"/>
        <v>6355533825</v>
      </c>
      <c r="G79" s="6">
        <v>0.0</v>
      </c>
      <c r="H79" s="28">
        <v>19942.0</v>
      </c>
      <c r="I79" s="6">
        <v>5.2668166E7</v>
      </c>
      <c r="J79" s="6">
        <v>1.32079522E8</v>
      </c>
      <c r="K79" s="4">
        <f t="shared" si="32"/>
        <v>-79411356</v>
      </c>
      <c r="L79" s="4">
        <f>I79+Jan!L77</f>
        <v>101542692</v>
      </c>
      <c r="M79" s="4">
        <f>J79+Jan!M77</f>
        <v>249577511</v>
      </c>
      <c r="N79" s="4">
        <f t="shared" si="33"/>
        <v>-148034819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f t="shared" si="34"/>
        <v>56</v>
      </c>
      <c r="C80" s="3" t="s">
        <v>83</v>
      </c>
      <c r="D80" s="6">
        <v>1.44264131E8</v>
      </c>
      <c r="E80" s="6">
        <v>350635.0</v>
      </c>
      <c r="F80" s="6">
        <f t="shared" si="31"/>
        <v>143913496</v>
      </c>
      <c r="G80" s="6">
        <v>0.0</v>
      </c>
      <c r="H80" s="28">
        <v>2966.0</v>
      </c>
      <c r="I80" s="6">
        <v>268250.0</v>
      </c>
      <c r="J80" s="6">
        <v>1229469.0</v>
      </c>
      <c r="K80" s="4">
        <f t="shared" si="32"/>
        <v>-961219</v>
      </c>
      <c r="L80" s="4">
        <f>I80+Jan!L78</f>
        <v>749637</v>
      </c>
      <c r="M80" s="4">
        <f>J80+Jan!M78</f>
        <v>1967229</v>
      </c>
      <c r="N80" s="4">
        <f t="shared" si="33"/>
        <v>-1217592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0" t="s">
        <v>84</v>
      </c>
      <c r="B81" s="2"/>
      <c r="C81" s="3"/>
      <c r="D81" s="6"/>
      <c r="E81" s="6"/>
      <c r="F81" s="6"/>
      <c r="G81" s="6"/>
      <c r="H81" s="28"/>
      <c r="I81" s="6"/>
      <c r="J81" s="6"/>
      <c r="K81" s="4"/>
      <c r="L81" s="4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1+B80</f>
        <v>57</v>
      </c>
      <c r="C82" s="3" t="s">
        <v>118</v>
      </c>
      <c r="D82" s="6">
        <v>0.0</v>
      </c>
      <c r="E82" s="6">
        <v>0.0</v>
      </c>
      <c r="F82" s="6">
        <f>D82-E82</f>
        <v>0</v>
      </c>
      <c r="G82" s="6">
        <v>0.0</v>
      </c>
      <c r="H82" s="28">
        <v>0.0</v>
      </c>
      <c r="I82" s="6">
        <v>0.0</v>
      </c>
      <c r="J82" s="6">
        <v>0.0</v>
      </c>
      <c r="K82" s="4">
        <f>I82-J82</f>
        <v>0</v>
      </c>
      <c r="L82" s="4">
        <f>I82+Jan!L80</f>
        <v>0</v>
      </c>
      <c r="M82" s="4">
        <f>J82+Jan!M80</f>
        <v>0</v>
      </c>
      <c r="N82" s="4">
        <f>L82-M82</f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24" t="s">
        <v>46</v>
      </c>
      <c r="B83" s="1"/>
      <c r="C83" s="1"/>
      <c r="D83" s="26">
        <f t="shared" ref="D83:N83" si="35">SUM(D70:D82)</f>
        <v>47668703987</v>
      </c>
      <c r="E83" s="26">
        <f t="shared" si="35"/>
        <v>307514372.6</v>
      </c>
      <c r="F83" s="26">
        <f t="shared" si="35"/>
        <v>47361189614</v>
      </c>
      <c r="G83" s="26">
        <f t="shared" si="35"/>
        <v>360000000</v>
      </c>
      <c r="H83" s="26">
        <f t="shared" si="35"/>
        <v>61436</v>
      </c>
      <c r="I83" s="26">
        <f t="shared" si="35"/>
        <v>347216204.9</v>
      </c>
      <c r="J83" s="26">
        <f t="shared" si="35"/>
        <v>477514373.5</v>
      </c>
      <c r="K83" s="26">
        <f t="shared" si="35"/>
        <v>-130298168.6</v>
      </c>
      <c r="L83" s="26">
        <f t="shared" si="35"/>
        <v>656996149.8</v>
      </c>
      <c r="M83" s="26">
        <f t="shared" si="35"/>
        <v>915188219.5</v>
      </c>
      <c r="N83" s="26">
        <f t="shared" si="35"/>
        <v>-258192069.7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20" t="s">
        <v>47</v>
      </c>
      <c r="B84" s="2"/>
      <c r="C84" s="3"/>
      <c r="D84" s="6"/>
      <c r="E84" s="6"/>
      <c r="F84" s="6"/>
      <c r="G84" s="6"/>
      <c r="H84" s="28"/>
      <c r="I84" s="6"/>
      <c r="J84" s="6"/>
      <c r="K84" s="6"/>
      <c r="L84" s="6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f>B82+1</f>
        <v>58</v>
      </c>
      <c r="C85" s="3" t="s">
        <v>86</v>
      </c>
      <c r="D85" s="6">
        <v>1.1225574853E10</v>
      </c>
      <c r="E85" s="6">
        <v>5.9324195E7</v>
      </c>
      <c r="F85" s="6">
        <f t="shared" ref="F85:F91" si="36">D85-E85</f>
        <v>11166250658</v>
      </c>
      <c r="G85" s="6">
        <v>0.0</v>
      </c>
      <c r="H85" s="28">
        <v>6794.0</v>
      </c>
      <c r="I85" s="6">
        <v>7.643705E7</v>
      </c>
      <c r="J85" s="6">
        <v>1.31403651E8</v>
      </c>
      <c r="K85" s="4">
        <f t="shared" ref="K85:K91" si="37">I85-J85</f>
        <v>-54966601</v>
      </c>
      <c r="L85" s="4">
        <f>I85+Jan!L83</f>
        <v>122621770</v>
      </c>
      <c r="M85" s="4">
        <f>J85+Jan!M83</f>
        <v>222287519</v>
      </c>
      <c r="N85" s="4">
        <f t="shared" ref="N85:N91" si="38">L85-M85</f>
        <v>-99665749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ref="B86:B91" si="39">1+B85</f>
        <v>59</v>
      </c>
      <c r="C86" s="3" t="s">
        <v>87</v>
      </c>
      <c r="D86" s="6">
        <v>4.945574198E7</v>
      </c>
      <c r="E86" s="6">
        <v>2039367.7</v>
      </c>
      <c r="F86" s="6">
        <f t="shared" si="36"/>
        <v>47416374.28</v>
      </c>
      <c r="G86" s="6">
        <v>0.0</v>
      </c>
      <c r="H86" s="28">
        <v>21.0</v>
      </c>
      <c r="I86" s="6">
        <v>0.0</v>
      </c>
      <c r="J86" s="6">
        <v>0.0</v>
      </c>
      <c r="K86" s="4">
        <f t="shared" si="37"/>
        <v>0</v>
      </c>
      <c r="L86" s="4">
        <f>I86+Jan!L84</f>
        <v>0</v>
      </c>
      <c r="M86" s="4">
        <f>J86+Jan!M84</f>
        <v>0</v>
      </c>
      <c r="N86" s="4">
        <f t="shared" si="38"/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60</v>
      </c>
      <c r="C87" s="3" t="s">
        <v>88</v>
      </c>
      <c r="D87" s="6">
        <v>3.16695809E8</v>
      </c>
      <c r="E87" s="6">
        <v>4543680.0</v>
      </c>
      <c r="F87" s="6">
        <f t="shared" si="36"/>
        <v>312152129</v>
      </c>
      <c r="G87" s="6">
        <v>0.0</v>
      </c>
      <c r="H87" s="28">
        <v>133.0</v>
      </c>
      <c r="I87" s="6">
        <v>0.0</v>
      </c>
      <c r="J87" s="6">
        <v>5601621.0</v>
      </c>
      <c r="K87" s="4">
        <f t="shared" si="37"/>
        <v>-5601621</v>
      </c>
      <c r="L87" s="4">
        <f>I87+Jan!L85</f>
        <v>869907</v>
      </c>
      <c r="M87" s="4">
        <f>J87+Jan!M85</f>
        <v>8134607</v>
      </c>
      <c r="N87" s="4">
        <f t="shared" si="38"/>
        <v>-7264700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1.25" customHeight="1">
      <c r="A88" s="20"/>
      <c r="B88" s="2">
        <f t="shared" si="39"/>
        <v>61</v>
      </c>
      <c r="C88" s="3" t="s">
        <v>89</v>
      </c>
      <c r="D88" s="6">
        <v>6.7601557E7</v>
      </c>
      <c r="E88" s="6">
        <v>6125796.0</v>
      </c>
      <c r="F88" s="6">
        <f t="shared" si="36"/>
        <v>61475761</v>
      </c>
      <c r="G88" s="6">
        <v>0.0</v>
      </c>
      <c r="H88" s="28">
        <v>23.0</v>
      </c>
      <c r="I88" s="6">
        <v>0.0</v>
      </c>
      <c r="J88" s="6">
        <v>0.0</v>
      </c>
      <c r="K88" s="4">
        <f t="shared" si="37"/>
        <v>0</v>
      </c>
      <c r="L88" s="4">
        <f>I88+Jan!L86</f>
        <v>0</v>
      </c>
      <c r="M88" s="4">
        <f>J88+Jan!M86</f>
        <v>0</v>
      </c>
      <c r="N88" s="4">
        <f t="shared" si="38"/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3"/>
      <c r="B89" s="2">
        <f t="shared" si="39"/>
        <v>62</v>
      </c>
      <c r="C89" s="3" t="s">
        <v>90</v>
      </c>
      <c r="D89" s="6">
        <v>1.557089549E9</v>
      </c>
      <c r="E89" s="6">
        <v>1.1330441E7</v>
      </c>
      <c r="F89" s="6">
        <f t="shared" si="36"/>
        <v>1545759108</v>
      </c>
      <c r="G89" s="6">
        <v>0.0</v>
      </c>
      <c r="H89" s="28">
        <v>1436.0</v>
      </c>
      <c r="I89" s="6">
        <v>59943.0</v>
      </c>
      <c r="J89" s="6">
        <v>8677275.0</v>
      </c>
      <c r="K89" s="4">
        <f t="shared" si="37"/>
        <v>-8617332</v>
      </c>
      <c r="L89" s="4">
        <f>I89+Jan!L87</f>
        <v>77424</v>
      </c>
      <c r="M89" s="4">
        <f>J89+Jan!M87</f>
        <v>15941983</v>
      </c>
      <c r="N89" s="4">
        <f t="shared" si="38"/>
        <v>-15864559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 t="shared" si="39"/>
        <v>63</v>
      </c>
      <c r="C90" s="3" t="s">
        <v>91</v>
      </c>
      <c r="D90" s="6">
        <v>2.1756140394E8</v>
      </c>
      <c r="E90" s="6">
        <v>1396155.81</v>
      </c>
      <c r="F90" s="6">
        <f t="shared" si="36"/>
        <v>216165248.1</v>
      </c>
      <c r="G90" s="6">
        <v>0.0</v>
      </c>
      <c r="H90" s="28">
        <v>90.0</v>
      </c>
      <c r="I90" s="6">
        <v>2.1994011283E8</v>
      </c>
      <c r="J90" s="6">
        <v>5.11951775367E9</v>
      </c>
      <c r="K90" s="4">
        <f t="shared" si="37"/>
        <v>-4899577641</v>
      </c>
      <c r="L90" s="4">
        <f>I90+Jan!L88</f>
        <v>220110806.8</v>
      </c>
      <c r="M90" s="4">
        <f>J90+Jan!M88</f>
        <v>5119727147</v>
      </c>
      <c r="N90" s="4">
        <f t="shared" si="38"/>
        <v>-4899616340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3"/>
      <c r="B91" s="2">
        <f t="shared" si="39"/>
        <v>64</v>
      </c>
      <c r="C91" s="3" t="s">
        <v>92</v>
      </c>
      <c r="D91" s="6">
        <v>4.08540355E8</v>
      </c>
      <c r="E91" s="6">
        <v>9131883.0</v>
      </c>
      <c r="F91" s="6">
        <f t="shared" si="36"/>
        <v>399408472</v>
      </c>
      <c r="G91" s="6">
        <v>0.0</v>
      </c>
      <c r="H91" s="28">
        <v>2664.0</v>
      </c>
      <c r="I91" s="6">
        <v>0.0</v>
      </c>
      <c r="J91" s="6">
        <v>1.2257376E7</v>
      </c>
      <c r="K91" s="4">
        <f t="shared" si="37"/>
        <v>-12257376</v>
      </c>
      <c r="L91" s="4">
        <f>I91+Jan!L89</f>
        <v>2435705</v>
      </c>
      <c r="M91" s="4">
        <f>J91+Jan!M89</f>
        <v>53837709</v>
      </c>
      <c r="N91" s="4">
        <f t="shared" si="38"/>
        <v>-51402004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24" t="s">
        <v>93</v>
      </c>
      <c r="B92" s="25"/>
      <c r="C92" s="33"/>
      <c r="D92" s="26">
        <f t="shared" ref="D92:N92" si="40">SUM(D85:D91)</f>
        <v>13842519269</v>
      </c>
      <c r="E92" s="26">
        <f t="shared" si="40"/>
        <v>93891518.51</v>
      </c>
      <c r="F92" s="26">
        <f t="shared" si="40"/>
        <v>13748627750</v>
      </c>
      <c r="G92" s="26">
        <f t="shared" si="40"/>
        <v>0</v>
      </c>
      <c r="H92" s="26">
        <f t="shared" si="40"/>
        <v>11161</v>
      </c>
      <c r="I92" s="26">
        <f t="shared" si="40"/>
        <v>296437105.8</v>
      </c>
      <c r="J92" s="26">
        <f t="shared" si="40"/>
        <v>5277457677</v>
      </c>
      <c r="K92" s="26">
        <f t="shared" si="40"/>
        <v>-4981020571</v>
      </c>
      <c r="L92" s="26">
        <f t="shared" si="40"/>
        <v>346115612.8</v>
      </c>
      <c r="M92" s="26">
        <f t="shared" si="40"/>
        <v>5419928965</v>
      </c>
      <c r="N92" s="26">
        <f t="shared" si="40"/>
        <v>-5073813352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3"/>
      <c r="B93" s="2">
        <f>1+B91</f>
        <v>65</v>
      </c>
      <c r="C93" s="3" t="s">
        <v>94</v>
      </c>
      <c r="D93" s="6">
        <v>6.98960258E8</v>
      </c>
      <c r="E93" s="6">
        <v>5293500.0</v>
      </c>
      <c r="F93" s="6">
        <f>D93-E93</f>
        <v>693666758</v>
      </c>
      <c r="G93" s="6">
        <v>0.0</v>
      </c>
      <c r="H93" s="28">
        <v>562.0</v>
      </c>
      <c r="I93" s="6">
        <v>2991675.0</v>
      </c>
      <c r="J93" s="6">
        <v>1.9506865E7</v>
      </c>
      <c r="K93" s="4">
        <f>I93-J93</f>
        <v>-16515190</v>
      </c>
      <c r="L93" s="4">
        <f>I93+Jan!L91</f>
        <v>5994456</v>
      </c>
      <c r="M93" s="4">
        <f>J93+Jan!M91</f>
        <v>58571920</v>
      </c>
      <c r="N93" s="4">
        <f>L93-M93</f>
        <v>-52577464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4" t="s">
        <v>95</v>
      </c>
      <c r="B94" s="33"/>
      <c r="C94" s="1"/>
      <c r="D94" s="26">
        <f t="shared" ref="D94:N94" si="41">SUM(D93)</f>
        <v>698960258</v>
      </c>
      <c r="E94" s="26">
        <f t="shared" si="41"/>
        <v>5293500</v>
      </c>
      <c r="F94" s="26">
        <f t="shared" si="41"/>
        <v>693666758</v>
      </c>
      <c r="G94" s="26">
        <f t="shared" si="41"/>
        <v>0</v>
      </c>
      <c r="H94" s="29">
        <f t="shared" si="41"/>
        <v>562</v>
      </c>
      <c r="I94" s="26">
        <f t="shared" si="41"/>
        <v>2991675</v>
      </c>
      <c r="J94" s="26">
        <f t="shared" si="41"/>
        <v>19506865</v>
      </c>
      <c r="K94" s="26">
        <f t="shared" si="41"/>
        <v>-16515190</v>
      </c>
      <c r="L94" s="26">
        <f t="shared" si="41"/>
        <v>5994456</v>
      </c>
      <c r="M94" s="26">
        <f t="shared" si="41"/>
        <v>58571920</v>
      </c>
      <c r="N94" s="26">
        <f t="shared" si="41"/>
        <v>-52577464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" t="s">
        <v>96</v>
      </c>
      <c r="B95" s="25"/>
      <c r="C95" s="33"/>
      <c r="D95" s="26">
        <f t="shared" ref="D95:N95" si="42">D83+D92+D94</f>
        <v>62210183514</v>
      </c>
      <c r="E95" s="26">
        <f t="shared" si="42"/>
        <v>406699391.1</v>
      </c>
      <c r="F95" s="26">
        <f t="shared" si="42"/>
        <v>61803484123</v>
      </c>
      <c r="G95" s="26">
        <f t="shared" si="42"/>
        <v>360000000</v>
      </c>
      <c r="H95" s="27">
        <f t="shared" si="42"/>
        <v>73159</v>
      </c>
      <c r="I95" s="26">
        <f t="shared" si="42"/>
        <v>646644985.8</v>
      </c>
      <c r="J95" s="26">
        <f t="shared" si="42"/>
        <v>5774478915</v>
      </c>
      <c r="K95" s="26">
        <f t="shared" si="42"/>
        <v>-5127833929</v>
      </c>
      <c r="L95" s="26">
        <f t="shared" si="42"/>
        <v>1009106219</v>
      </c>
      <c r="M95" s="26">
        <f t="shared" si="42"/>
        <v>6393689104</v>
      </c>
      <c r="N95" s="26">
        <f t="shared" si="42"/>
        <v>-5384582886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 t="s">
        <v>97</v>
      </c>
      <c r="B96" s="2"/>
      <c r="C96" s="34"/>
      <c r="D96" s="6"/>
      <c r="E96" s="6"/>
      <c r="F96" s="6"/>
      <c r="G96" s="6"/>
      <c r="H96" s="28"/>
      <c r="I96" s="6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0" t="s">
        <v>20</v>
      </c>
      <c r="B97" s="2"/>
      <c r="C97" s="34"/>
      <c r="D97" s="6"/>
      <c r="E97" s="6"/>
      <c r="F97" s="6"/>
      <c r="G97" s="6"/>
      <c r="H97" s="32"/>
      <c r="I97" s="6"/>
      <c r="J97" s="4"/>
      <c r="K97" s="4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20"/>
      <c r="B98" s="2">
        <f>B93+1</f>
        <v>66</v>
      </c>
      <c r="C98" s="34" t="s">
        <v>98</v>
      </c>
      <c r="D98" s="6">
        <v>1.7629825093E8</v>
      </c>
      <c r="E98" s="6">
        <v>316723.31</v>
      </c>
      <c r="F98" s="6">
        <f t="shared" ref="F98:F101" si="43">D98-E98</f>
        <v>175981527.6</v>
      </c>
      <c r="G98" s="6">
        <v>0.0</v>
      </c>
      <c r="H98" s="28">
        <v>62.0</v>
      </c>
      <c r="I98" s="6">
        <v>43000.0</v>
      </c>
      <c r="J98" s="6">
        <v>0.0</v>
      </c>
      <c r="K98" s="4">
        <f t="shared" ref="K98:K101" si="44">I98-J98</f>
        <v>43000</v>
      </c>
      <c r="L98" s="4">
        <f>I98+Jan!L96</f>
        <v>116000</v>
      </c>
      <c r="M98" s="4">
        <f>J98+Jan!M96</f>
        <v>18188.87</v>
      </c>
      <c r="N98" s="4">
        <f t="shared" ref="N98:N101" si="45">L98-M98</f>
        <v>97811.13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0"/>
      <c r="B99" s="2">
        <f t="shared" ref="B99:B101" si="46">B98+1</f>
        <v>67</v>
      </c>
      <c r="C99" s="3" t="s">
        <v>99</v>
      </c>
      <c r="D99" s="6">
        <v>1.9312678227E10</v>
      </c>
      <c r="E99" s="6">
        <v>2.19054343E8</v>
      </c>
      <c r="F99" s="6">
        <f t="shared" si="43"/>
        <v>19093623884</v>
      </c>
      <c r="G99" s="6">
        <v>0.0</v>
      </c>
      <c r="H99" s="28">
        <v>20058.0</v>
      </c>
      <c r="I99" s="6">
        <v>371060.0</v>
      </c>
      <c r="J99" s="6">
        <v>2.67516873E8</v>
      </c>
      <c r="K99" s="4">
        <f t="shared" si="44"/>
        <v>-267145813</v>
      </c>
      <c r="L99" s="4">
        <f>I99+Jan!L97</f>
        <v>740456</v>
      </c>
      <c r="M99" s="4">
        <f>J99+Jan!M97</f>
        <v>497843967</v>
      </c>
      <c r="N99" s="4">
        <f t="shared" si="45"/>
        <v>-497103511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0"/>
      <c r="B100" s="2">
        <f t="shared" si="46"/>
        <v>68</v>
      </c>
      <c r="C100" s="3" t="s">
        <v>100</v>
      </c>
      <c r="D100" s="6">
        <v>2.443417149E9</v>
      </c>
      <c r="E100" s="6">
        <v>6723684.0</v>
      </c>
      <c r="F100" s="6">
        <f t="shared" si="43"/>
        <v>2436693465</v>
      </c>
      <c r="G100" s="6">
        <v>0.0</v>
      </c>
      <c r="H100" s="28">
        <v>1242.0</v>
      </c>
      <c r="I100" s="6">
        <v>1.24746107E8</v>
      </c>
      <c r="J100" s="6">
        <v>9.6409998E7</v>
      </c>
      <c r="K100" s="4">
        <f t="shared" si="44"/>
        <v>28336109</v>
      </c>
      <c r="L100" s="4">
        <f>I100+Jan!L98</f>
        <v>177879996</v>
      </c>
      <c r="M100" s="4">
        <f>J100+Jan!M98</f>
        <v>197562982</v>
      </c>
      <c r="N100" s="4">
        <f t="shared" si="45"/>
        <v>-19682986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/>
      <c r="B101" s="2">
        <f t="shared" si="46"/>
        <v>69</v>
      </c>
      <c r="C101" s="3" t="s">
        <v>101</v>
      </c>
      <c r="D101" s="6">
        <v>1.0634219127E10</v>
      </c>
      <c r="E101" s="6">
        <v>5.76485587E8</v>
      </c>
      <c r="F101" s="6">
        <f t="shared" si="43"/>
        <v>10057733540</v>
      </c>
      <c r="G101" s="6">
        <v>0.0</v>
      </c>
      <c r="H101" s="28">
        <v>74837.0</v>
      </c>
      <c r="I101" s="6">
        <v>2.93883296E8</v>
      </c>
      <c r="J101" s="6">
        <v>3.94460518E8</v>
      </c>
      <c r="K101" s="4">
        <f t="shared" si="44"/>
        <v>-100577222</v>
      </c>
      <c r="L101" s="4">
        <f>I101+Jan!L99</f>
        <v>557939369</v>
      </c>
      <c r="M101" s="4">
        <f>J101+Jan!M99</f>
        <v>1264249326</v>
      </c>
      <c r="N101" s="4">
        <f t="shared" si="45"/>
        <v>-706309957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0" t="s">
        <v>40</v>
      </c>
      <c r="B102" s="2"/>
      <c r="C102" s="3"/>
      <c r="D102" s="6"/>
      <c r="E102" s="6"/>
      <c r="F102" s="6"/>
      <c r="G102" s="6"/>
      <c r="H102" s="28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1+B101</f>
        <v>70</v>
      </c>
      <c r="C103" s="3" t="s">
        <v>99</v>
      </c>
      <c r="D103" s="6">
        <v>1.5019262002E10</v>
      </c>
      <c r="E103" s="6">
        <v>1.56937158E8</v>
      </c>
      <c r="F103" s="6">
        <f>D103-E103</f>
        <v>14862324844</v>
      </c>
      <c r="G103" s="6">
        <v>0.0</v>
      </c>
      <c r="H103" s="28">
        <v>33026.0</v>
      </c>
      <c r="I103" s="6">
        <v>1.723079406E9</v>
      </c>
      <c r="J103" s="6">
        <v>8.9817477E8</v>
      </c>
      <c r="K103" s="4">
        <f>I103-J103</f>
        <v>824904636</v>
      </c>
      <c r="L103" s="4">
        <f>I103+Jan!L101</f>
        <v>3007904281</v>
      </c>
      <c r="M103" s="4">
        <f>J103+Jan!M101</f>
        <v>1976566041</v>
      </c>
      <c r="N103" s="4">
        <f>L103-M103</f>
        <v>1031338240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4" t="s">
        <v>46</v>
      </c>
      <c r="B104" s="2"/>
      <c r="C104" s="3"/>
      <c r="D104" s="26">
        <f t="shared" ref="D104:N104" si="47">SUM(D98:D101)+D103</f>
        <v>47585874756</v>
      </c>
      <c r="E104" s="26">
        <f t="shared" si="47"/>
        <v>959517495.3</v>
      </c>
      <c r="F104" s="26">
        <f t="shared" si="47"/>
        <v>46626357261</v>
      </c>
      <c r="G104" s="26">
        <f t="shared" si="47"/>
        <v>0</v>
      </c>
      <c r="H104" s="29">
        <f t="shared" si="47"/>
        <v>129225</v>
      </c>
      <c r="I104" s="26">
        <f t="shared" si="47"/>
        <v>2142122869</v>
      </c>
      <c r="J104" s="26">
        <f t="shared" si="47"/>
        <v>1656562159</v>
      </c>
      <c r="K104" s="26">
        <f t="shared" si="47"/>
        <v>485560710</v>
      </c>
      <c r="L104" s="26">
        <f t="shared" si="47"/>
        <v>3744580102</v>
      </c>
      <c r="M104" s="26">
        <f t="shared" si="47"/>
        <v>3936240505</v>
      </c>
      <c r="N104" s="26">
        <f t="shared" si="47"/>
        <v>-191660402.9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20" t="s">
        <v>47</v>
      </c>
      <c r="B105" s="2"/>
      <c r="C105" s="3"/>
      <c r="D105" s="6"/>
      <c r="E105" s="6"/>
      <c r="F105" s="6"/>
      <c r="G105" s="6"/>
      <c r="H105" s="32"/>
      <c r="I105" s="6"/>
      <c r="J105" s="4"/>
      <c r="K105" s="4"/>
      <c r="L105" s="4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/>
      <c r="B106" s="2">
        <f>1+B103</f>
        <v>71</v>
      </c>
      <c r="C106" s="3" t="s">
        <v>102</v>
      </c>
      <c r="D106" s="6">
        <v>1.187073414E9</v>
      </c>
      <c r="E106" s="6">
        <v>5047358.0</v>
      </c>
      <c r="F106" s="6">
        <f>D106-E106</f>
        <v>1182026056</v>
      </c>
      <c r="G106" s="6">
        <v>0.0</v>
      </c>
      <c r="H106" s="28">
        <v>3980.0</v>
      </c>
      <c r="I106" s="6">
        <v>7640738.0</v>
      </c>
      <c r="J106" s="6">
        <v>7.1538392E7</v>
      </c>
      <c r="K106" s="4">
        <f>I106-J106</f>
        <v>-63897654</v>
      </c>
      <c r="L106" s="4">
        <f>I106+Jan!L104</f>
        <v>61270938</v>
      </c>
      <c r="M106" s="4">
        <f>J106+Jan!M104</f>
        <v>256227876</v>
      </c>
      <c r="N106" s="4">
        <f>L106-M106</f>
        <v>-194956938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4" t="s">
        <v>93</v>
      </c>
      <c r="B107" s="2"/>
      <c r="C107" s="3"/>
      <c r="D107" s="26">
        <f t="shared" ref="D107:N107" si="48">SUM(D106)</f>
        <v>1187073414</v>
      </c>
      <c r="E107" s="26">
        <f t="shared" si="48"/>
        <v>5047358</v>
      </c>
      <c r="F107" s="26">
        <f t="shared" si="48"/>
        <v>1182026056</v>
      </c>
      <c r="G107" s="26">
        <f t="shared" si="48"/>
        <v>0</v>
      </c>
      <c r="H107" s="29">
        <f t="shared" si="48"/>
        <v>3980</v>
      </c>
      <c r="I107" s="26">
        <f t="shared" si="48"/>
        <v>7640738</v>
      </c>
      <c r="J107" s="26">
        <f t="shared" si="48"/>
        <v>71538392</v>
      </c>
      <c r="K107" s="26">
        <f t="shared" si="48"/>
        <v>-63897654</v>
      </c>
      <c r="L107" s="26">
        <f t="shared" si="48"/>
        <v>61270938</v>
      </c>
      <c r="M107" s="26">
        <f t="shared" si="48"/>
        <v>256227876</v>
      </c>
      <c r="N107" s="26">
        <f t="shared" si="48"/>
        <v>-194956938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 t="s">
        <v>103</v>
      </c>
      <c r="B108" s="2"/>
      <c r="C108" s="3"/>
      <c r="D108" s="26">
        <f t="shared" ref="D108:N108" si="49">D104+D107</f>
        <v>48772948170</v>
      </c>
      <c r="E108" s="26">
        <f t="shared" si="49"/>
        <v>964564853.3</v>
      </c>
      <c r="F108" s="26">
        <f t="shared" si="49"/>
        <v>47808383317</v>
      </c>
      <c r="G108" s="26">
        <f t="shared" si="49"/>
        <v>0</v>
      </c>
      <c r="H108" s="29">
        <f t="shared" si="49"/>
        <v>133205</v>
      </c>
      <c r="I108" s="26">
        <f t="shared" si="49"/>
        <v>2149763607</v>
      </c>
      <c r="J108" s="26">
        <f t="shared" si="49"/>
        <v>1728100551</v>
      </c>
      <c r="K108" s="26">
        <f t="shared" si="49"/>
        <v>421663056</v>
      </c>
      <c r="L108" s="26">
        <f t="shared" si="49"/>
        <v>3805851040</v>
      </c>
      <c r="M108" s="26">
        <f t="shared" si="49"/>
        <v>4192468381</v>
      </c>
      <c r="N108" s="26">
        <f t="shared" si="49"/>
        <v>-386617340.9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 t="s">
        <v>104</v>
      </c>
      <c r="B109" s="2"/>
      <c r="C109" s="3"/>
      <c r="D109" s="30"/>
      <c r="E109" s="30"/>
      <c r="F109" s="30"/>
      <c r="G109" s="30"/>
      <c r="H109" s="31"/>
      <c r="I109" s="30"/>
      <c r="J109" s="30"/>
      <c r="K109" s="30"/>
      <c r="L109" s="30"/>
      <c r="M109" s="30"/>
      <c r="N109" s="3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0" t="s">
        <v>105</v>
      </c>
      <c r="B110" s="2"/>
      <c r="C110" s="3"/>
      <c r="D110" s="6"/>
      <c r="E110" s="6"/>
      <c r="F110" s="6"/>
      <c r="G110" s="6"/>
      <c r="H110" s="32"/>
      <c r="I110" s="6"/>
      <c r="J110" s="6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0"/>
      <c r="B111" s="2">
        <f>1+B106</f>
        <v>72</v>
      </c>
      <c r="C111" s="3" t="s">
        <v>106</v>
      </c>
      <c r="D111" s="6">
        <v>1.0517553925E10</v>
      </c>
      <c r="E111" s="6">
        <v>1.29498983E8</v>
      </c>
      <c r="F111" s="6">
        <f t="shared" ref="F111:F113" si="50">D111-E111</f>
        <v>10388054942</v>
      </c>
      <c r="G111" s="6">
        <v>0.0</v>
      </c>
      <c r="H111" s="28">
        <v>607571.0</v>
      </c>
      <c r="I111" s="6">
        <v>6.96865459E8</v>
      </c>
      <c r="J111" s="6">
        <v>8.028386E7</v>
      </c>
      <c r="K111" s="4">
        <f t="shared" ref="K111:K113" si="51">I111-J111</f>
        <v>616581599</v>
      </c>
      <c r="L111" s="4">
        <f>I111+Jan!L109</f>
        <v>916620841</v>
      </c>
      <c r="M111" s="4">
        <f>J111+Jan!M109</f>
        <v>201527939</v>
      </c>
      <c r="N111" s="4">
        <f t="shared" ref="N111:N113" si="52">L111-M111</f>
        <v>715092902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 t="shared" ref="B112:B113" si="53">1+B111</f>
        <v>73</v>
      </c>
      <c r="C112" s="3" t="s">
        <v>107</v>
      </c>
      <c r="D112" s="6">
        <v>8.17625387E9</v>
      </c>
      <c r="E112" s="6">
        <v>1.13514774E8</v>
      </c>
      <c r="F112" s="6">
        <f t="shared" si="50"/>
        <v>8062739096</v>
      </c>
      <c r="G112" s="6">
        <v>0.0</v>
      </c>
      <c r="H112" s="28">
        <v>13010.0</v>
      </c>
      <c r="I112" s="6">
        <v>6.70400852E8</v>
      </c>
      <c r="J112" s="6">
        <v>1.38504529E8</v>
      </c>
      <c r="K112" s="4">
        <f t="shared" si="51"/>
        <v>531896323</v>
      </c>
      <c r="L112" s="4">
        <f>I112+Jan!L110</f>
        <v>1305890816</v>
      </c>
      <c r="M112" s="4">
        <f>J112+Jan!M110</f>
        <v>390433395</v>
      </c>
      <c r="N112" s="4">
        <f t="shared" si="52"/>
        <v>915457421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 t="shared" si="53"/>
        <v>74</v>
      </c>
      <c r="C113" s="3" t="s">
        <v>108</v>
      </c>
      <c r="D113" s="6">
        <v>3.734778025E9</v>
      </c>
      <c r="E113" s="6">
        <v>6.055835E7</v>
      </c>
      <c r="F113" s="6">
        <f t="shared" si="50"/>
        <v>3674219675</v>
      </c>
      <c r="G113" s="6">
        <v>0.0</v>
      </c>
      <c r="H113" s="28">
        <v>5486.0</v>
      </c>
      <c r="I113" s="6">
        <v>6.5506747E7</v>
      </c>
      <c r="J113" s="6">
        <v>1.0669041E8</v>
      </c>
      <c r="K113" s="4">
        <f t="shared" si="51"/>
        <v>-41183663</v>
      </c>
      <c r="L113" s="4">
        <f>I113+Jan!L111</f>
        <v>212157986</v>
      </c>
      <c r="M113" s="4">
        <f>J113+Jan!M111</f>
        <v>191295965</v>
      </c>
      <c r="N113" s="4">
        <f t="shared" si="52"/>
        <v>20862021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4" t="s">
        <v>46</v>
      </c>
      <c r="B114" s="2"/>
      <c r="C114" s="3"/>
      <c r="D114" s="26">
        <f t="shared" ref="D114:N114" si="54">D111+D112+D113</f>
        <v>22428585820</v>
      </c>
      <c r="E114" s="26">
        <f t="shared" si="54"/>
        <v>303572107</v>
      </c>
      <c r="F114" s="26">
        <f t="shared" si="54"/>
        <v>22125013713</v>
      </c>
      <c r="G114" s="26">
        <f t="shared" si="54"/>
        <v>0</v>
      </c>
      <c r="H114" s="27">
        <f t="shared" si="54"/>
        <v>626067</v>
      </c>
      <c r="I114" s="26">
        <f t="shared" si="54"/>
        <v>1432773058</v>
      </c>
      <c r="J114" s="26">
        <f t="shared" si="54"/>
        <v>325478799</v>
      </c>
      <c r="K114" s="26">
        <f t="shared" si="54"/>
        <v>1107294259</v>
      </c>
      <c r="L114" s="26">
        <f t="shared" si="54"/>
        <v>2434669643</v>
      </c>
      <c r="M114" s="26">
        <f t="shared" si="54"/>
        <v>783257299</v>
      </c>
      <c r="N114" s="26">
        <f t="shared" si="54"/>
        <v>1651412344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20" t="s">
        <v>109</v>
      </c>
      <c r="B115" s="2"/>
      <c r="C115" s="3"/>
      <c r="D115" s="6"/>
      <c r="E115" s="6"/>
      <c r="F115" s="6"/>
      <c r="G115" s="6"/>
      <c r="H115" s="32"/>
      <c r="I115" s="6"/>
      <c r="J115" s="6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1"/>
      <c r="B116" s="2">
        <f>1+B113</f>
        <v>75</v>
      </c>
      <c r="C116" s="3" t="s">
        <v>106</v>
      </c>
      <c r="D116" s="6">
        <v>8.678984542E9</v>
      </c>
      <c r="E116" s="6">
        <v>5.9777863E7</v>
      </c>
      <c r="F116" s="6">
        <f>D116-E116</f>
        <v>8619206679</v>
      </c>
      <c r="G116" s="6">
        <v>0.0</v>
      </c>
      <c r="H116" s="28">
        <v>6853.0</v>
      </c>
      <c r="I116" s="6">
        <v>5.1154139E7</v>
      </c>
      <c r="J116" s="6">
        <v>7.1854624E7</v>
      </c>
      <c r="K116" s="4">
        <f>I116-J116</f>
        <v>-20700485</v>
      </c>
      <c r="L116" s="4">
        <f>I116+Jan!L114</f>
        <v>98976313</v>
      </c>
      <c r="M116" s="4">
        <f>J116+Jan!M114</f>
        <v>215023205</v>
      </c>
      <c r="N116" s="4">
        <f>L116-M116</f>
        <v>-116046892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24" t="s">
        <v>93</v>
      </c>
      <c r="B117" s="25"/>
      <c r="C117" s="1"/>
      <c r="D117" s="26">
        <f t="shared" ref="D117:N117" si="55">SUM(D116)</f>
        <v>8678984542</v>
      </c>
      <c r="E117" s="26">
        <f t="shared" si="55"/>
        <v>59777863</v>
      </c>
      <c r="F117" s="26">
        <f t="shared" si="55"/>
        <v>8619206679</v>
      </c>
      <c r="G117" s="26">
        <f t="shared" si="55"/>
        <v>0</v>
      </c>
      <c r="H117" s="29">
        <f t="shared" si="55"/>
        <v>6853</v>
      </c>
      <c r="I117" s="26">
        <f t="shared" si="55"/>
        <v>51154139</v>
      </c>
      <c r="J117" s="26">
        <f t="shared" si="55"/>
        <v>71854624</v>
      </c>
      <c r="K117" s="26">
        <f t="shared" si="55"/>
        <v>-20700485</v>
      </c>
      <c r="L117" s="26">
        <f t="shared" si="55"/>
        <v>98976313</v>
      </c>
      <c r="M117" s="26">
        <f t="shared" si="55"/>
        <v>215023205</v>
      </c>
      <c r="N117" s="26">
        <f t="shared" si="55"/>
        <v>-116046892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1" t="s">
        <v>110</v>
      </c>
      <c r="B118" s="35"/>
      <c r="C118" s="33"/>
      <c r="D118" s="26">
        <f t="shared" ref="D118:N118" si="56">SUM(D114+D117)</f>
        <v>31107570362</v>
      </c>
      <c r="E118" s="26">
        <f t="shared" si="56"/>
        <v>363349970</v>
      </c>
      <c r="F118" s="26">
        <f t="shared" si="56"/>
        <v>30744220392</v>
      </c>
      <c r="G118" s="26">
        <f t="shared" si="56"/>
        <v>0</v>
      </c>
      <c r="H118" s="29">
        <f t="shared" si="56"/>
        <v>632920</v>
      </c>
      <c r="I118" s="26">
        <f t="shared" si="56"/>
        <v>1483927197</v>
      </c>
      <c r="J118" s="26">
        <f t="shared" si="56"/>
        <v>397333423</v>
      </c>
      <c r="K118" s="26">
        <f t="shared" si="56"/>
        <v>1086593774</v>
      </c>
      <c r="L118" s="26">
        <f t="shared" si="56"/>
        <v>2533645956</v>
      </c>
      <c r="M118" s="26">
        <f t="shared" si="56"/>
        <v>998280504</v>
      </c>
      <c r="N118" s="26">
        <f t="shared" si="56"/>
        <v>1535365452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 t="s">
        <v>111</v>
      </c>
      <c r="B119" s="37"/>
      <c r="C119" s="38"/>
      <c r="D119" s="39">
        <f t="shared" ref="D119:N119" si="57">D42+D67+D95+D108+D118</f>
        <v>210455912676</v>
      </c>
      <c r="E119" s="39">
        <f t="shared" si="57"/>
        <v>2740501682</v>
      </c>
      <c r="F119" s="39">
        <f t="shared" si="57"/>
        <v>207715410994</v>
      </c>
      <c r="G119" s="39">
        <f t="shared" si="57"/>
        <v>55741920259</v>
      </c>
      <c r="H119" s="40">
        <f t="shared" si="57"/>
        <v>2037523</v>
      </c>
      <c r="I119" s="39">
        <f t="shared" si="57"/>
        <v>4541464388</v>
      </c>
      <c r="J119" s="39">
        <f t="shared" si="57"/>
        <v>9179827046</v>
      </c>
      <c r="K119" s="39">
        <f t="shared" si="57"/>
        <v>-4638362658</v>
      </c>
      <c r="L119" s="39">
        <f t="shared" si="57"/>
        <v>7906492396</v>
      </c>
      <c r="M119" s="39">
        <f t="shared" si="57"/>
        <v>14372884383</v>
      </c>
      <c r="N119" s="39">
        <f t="shared" si="57"/>
        <v>-6466391987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2.0" customHeight="1">
      <c r="A120" s="41"/>
      <c r="B120" s="41"/>
      <c r="C120" s="41"/>
      <c r="D120" s="4"/>
      <c r="E120" s="4"/>
      <c r="F120" s="4"/>
      <c r="G120" s="4"/>
      <c r="H120" s="5"/>
      <c r="I120" s="6"/>
      <c r="J120" s="4"/>
      <c r="K120" s="4"/>
      <c r="L120" s="4">
        <f>I119+Jan!I117-L119</f>
        <v>0</v>
      </c>
      <c r="M120" s="4">
        <f>J119+Jan!J117-M119</f>
        <v>-0.000001907348633</v>
      </c>
      <c r="N120" s="4">
        <f>K119+Jan!K117-N119</f>
        <v>-0.0000009536743164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2" t="s">
        <v>112</v>
      </c>
      <c r="B121" s="34"/>
      <c r="C121" s="3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2" t="s">
        <v>113</v>
      </c>
      <c r="B122" s="34"/>
      <c r="C122" s="3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9.75" customHeight="1">
      <c r="A123" s="42" t="s">
        <v>114</v>
      </c>
      <c r="B123" s="34"/>
      <c r="C123" s="3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9.75" customHeight="1">
      <c r="A124" s="42" t="s">
        <v>119</v>
      </c>
      <c r="B124" s="41"/>
      <c r="C124" s="41"/>
      <c r="D124" s="4"/>
      <c r="E124" s="4"/>
      <c r="F124" s="4"/>
      <c r="G124" s="4"/>
      <c r="H124" s="5"/>
      <c r="I124" s="6"/>
      <c r="J124" s="4"/>
      <c r="K124" s="4">
        <f>H124-J124</f>
        <v>0</v>
      </c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1"/>
      <c r="B125" s="41"/>
      <c r="C125" s="41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1"/>
      <c r="B126" s="41"/>
      <c r="C126" s="41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1"/>
      <c r="B127" s="41"/>
      <c r="C127" s="41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1"/>
      <c r="B128" s="41"/>
      <c r="C128" s="41"/>
      <c r="D128" s="3"/>
      <c r="E128" s="3"/>
      <c r="F128" s="3"/>
      <c r="G128" s="3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1"/>
      <c r="B129" s="41"/>
      <c r="C129" s="41"/>
      <c r="D129" s="3"/>
      <c r="E129" s="3"/>
      <c r="F129" s="3"/>
      <c r="G129" s="3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1"/>
      <c r="B130" s="41"/>
      <c r="C130" s="41"/>
      <c r="D130" s="3"/>
      <c r="E130" s="3"/>
      <c r="F130" s="3"/>
      <c r="G130" s="3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1"/>
      <c r="B131" s="41"/>
      <c r="C131" s="41"/>
      <c r="D131" s="3"/>
      <c r="E131" s="3"/>
      <c r="F131" s="3"/>
      <c r="G131" s="3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1"/>
      <c r="B132" s="41"/>
      <c r="C132" s="41"/>
      <c r="D132" s="3"/>
      <c r="E132" s="3"/>
      <c r="F132" s="3"/>
      <c r="G132" s="3"/>
      <c r="H132" s="5"/>
      <c r="I132" s="6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1"/>
      <c r="B133" s="41"/>
      <c r="C133" s="41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1"/>
      <c r="B134" s="41"/>
      <c r="C134" s="41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1"/>
      <c r="B135" s="41"/>
      <c r="C135" s="41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1"/>
      <c r="B136" s="41"/>
      <c r="C136" s="41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1"/>
      <c r="B137" s="41"/>
      <c r="C137" s="41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1"/>
      <c r="B138" s="41"/>
      <c r="C138" s="41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1"/>
      <c r="B139" s="41"/>
      <c r="C139" s="41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1"/>
      <c r="B140" s="41"/>
      <c r="C140" s="41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1"/>
      <c r="B141" s="41"/>
      <c r="C141" s="41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1"/>
      <c r="B142" s="41"/>
      <c r="C142" s="41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1"/>
      <c r="B143" s="41"/>
      <c r="C143" s="41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1"/>
      <c r="B144" s="41"/>
      <c r="C144" s="41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1"/>
      <c r="B145" s="41"/>
      <c r="C145" s="41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1"/>
      <c r="B146" s="41"/>
      <c r="C146" s="41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1"/>
      <c r="B147" s="41"/>
      <c r="C147" s="41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1"/>
      <c r="B148" s="41"/>
      <c r="C148" s="41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1"/>
      <c r="B149" s="41"/>
      <c r="C149" s="41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1"/>
      <c r="B150" s="41"/>
      <c r="C150" s="41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1"/>
      <c r="B151" s="41"/>
      <c r="C151" s="41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1"/>
      <c r="B152" s="41"/>
      <c r="C152" s="41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1"/>
      <c r="B153" s="41"/>
      <c r="C153" s="41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1"/>
      <c r="B154" s="41"/>
      <c r="C154" s="41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1"/>
      <c r="B155" s="41"/>
      <c r="C155" s="41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1"/>
      <c r="B156" s="41"/>
      <c r="C156" s="41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1"/>
      <c r="B157" s="41"/>
      <c r="C157" s="41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1"/>
      <c r="B158" s="41"/>
      <c r="C158" s="41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1"/>
      <c r="B159" s="41"/>
      <c r="C159" s="41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1"/>
      <c r="B160" s="41"/>
      <c r="C160" s="41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1"/>
      <c r="B161" s="41"/>
      <c r="C161" s="41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1"/>
      <c r="B162" s="41"/>
      <c r="C162" s="41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1"/>
      <c r="B163" s="41"/>
      <c r="C163" s="41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1"/>
      <c r="B164" s="41"/>
      <c r="C164" s="41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1"/>
      <c r="B165" s="41"/>
      <c r="C165" s="41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1"/>
      <c r="B166" s="41"/>
      <c r="C166" s="41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1"/>
      <c r="B167" s="41"/>
      <c r="C167" s="41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1"/>
      <c r="B168" s="41"/>
      <c r="C168" s="41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1"/>
      <c r="B169" s="41"/>
      <c r="C169" s="41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1"/>
      <c r="B170" s="41"/>
      <c r="C170" s="41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1"/>
      <c r="B171" s="41"/>
      <c r="C171" s="41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1"/>
      <c r="B172" s="41"/>
      <c r="C172" s="41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1"/>
      <c r="B173" s="41"/>
      <c r="C173" s="41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1"/>
      <c r="B174" s="41"/>
      <c r="C174" s="41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1"/>
      <c r="B175" s="41"/>
      <c r="C175" s="41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1"/>
      <c r="B176" s="41"/>
      <c r="C176" s="41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1"/>
      <c r="B177" s="41"/>
      <c r="C177" s="41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1"/>
      <c r="B178" s="41"/>
      <c r="C178" s="41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1"/>
      <c r="B179" s="41"/>
      <c r="C179" s="41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1"/>
      <c r="B180" s="41"/>
      <c r="C180" s="41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1"/>
      <c r="B181" s="41"/>
      <c r="C181" s="41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1"/>
      <c r="B182" s="41"/>
      <c r="C182" s="41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1"/>
      <c r="B183" s="41"/>
      <c r="C183" s="41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1"/>
      <c r="B184" s="41"/>
      <c r="C184" s="41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1"/>
      <c r="B185" s="41"/>
      <c r="C185" s="41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1"/>
      <c r="B186" s="41"/>
      <c r="C186" s="41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1"/>
      <c r="B187" s="41"/>
      <c r="C187" s="41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1"/>
      <c r="B188" s="41"/>
      <c r="C188" s="41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1"/>
      <c r="B189" s="41"/>
      <c r="C189" s="41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1"/>
      <c r="B190" s="41"/>
      <c r="C190" s="41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1"/>
      <c r="B191" s="41"/>
      <c r="C191" s="41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1"/>
      <c r="B192" s="41"/>
      <c r="C192" s="41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1"/>
      <c r="B193" s="41"/>
      <c r="C193" s="41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1"/>
      <c r="B194" s="41"/>
      <c r="C194" s="41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1"/>
      <c r="B195" s="41"/>
      <c r="C195" s="41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1"/>
      <c r="B196" s="41"/>
      <c r="C196" s="41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1"/>
      <c r="B197" s="41"/>
      <c r="C197" s="41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1"/>
      <c r="B198" s="41"/>
      <c r="C198" s="41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1"/>
      <c r="B199" s="41"/>
      <c r="C199" s="41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1"/>
      <c r="B200" s="41"/>
      <c r="C200" s="41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1"/>
      <c r="B201" s="41"/>
      <c r="C201" s="41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1"/>
      <c r="B202" s="41"/>
      <c r="C202" s="41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1"/>
      <c r="B203" s="41"/>
      <c r="C203" s="41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1"/>
      <c r="B204" s="41"/>
      <c r="C204" s="41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1"/>
      <c r="B205" s="41"/>
      <c r="C205" s="41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1"/>
      <c r="B206" s="41"/>
      <c r="C206" s="41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1"/>
      <c r="B207" s="41"/>
      <c r="C207" s="41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1"/>
      <c r="B208" s="41"/>
      <c r="C208" s="41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1"/>
      <c r="B209" s="41"/>
      <c r="C209" s="41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1"/>
      <c r="B210" s="41"/>
      <c r="C210" s="41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1"/>
      <c r="B211" s="41"/>
      <c r="C211" s="41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1"/>
      <c r="B212" s="41"/>
      <c r="C212" s="41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1"/>
      <c r="B213" s="41"/>
      <c r="C213" s="41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1"/>
      <c r="B214" s="41"/>
      <c r="C214" s="41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1"/>
      <c r="B215" s="41"/>
      <c r="C215" s="41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1"/>
      <c r="B216" s="41"/>
      <c r="C216" s="41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1"/>
      <c r="B217" s="41"/>
      <c r="C217" s="41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1"/>
      <c r="B218" s="41"/>
      <c r="C218" s="41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1"/>
      <c r="B219" s="41"/>
      <c r="C219" s="41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1"/>
      <c r="B220" s="41"/>
      <c r="C220" s="41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1"/>
      <c r="B221" s="41"/>
      <c r="C221" s="41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1"/>
      <c r="B222" s="41"/>
      <c r="C222" s="41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1"/>
      <c r="B223" s="41"/>
      <c r="C223" s="41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1"/>
      <c r="B224" s="41"/>
      <c r="C224" s="41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1"/>
      <c r="B225" s="41"/>
      <c r="C225" s="41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1"/>
      <c r="B226" s="41"/>
      <c r="C226" s="41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1"/>
      <c r="B227" s="41"/>
      <c r="C227" s="41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1"/>
      <c r="B228" s="41"/>
      <c r="C228" s="41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1"/>
      <c r="B229" s="41"/>
      <c r="C229" s="41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1"/>
      <c r="B230" s="41"/>
      <c r="C230" s="41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1"/>
      <c r="B231" s="41"/>
      <c r="C231" s="41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1"/>
      <c r="B232" s="41"/>
      <c r="C232" s="41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1"/>
      <c r="B233" s="41"/>
      <c r="C233" s="41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1"/>
      <c r="B234" s="41"/>
      <c r="C234" s="41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1"/>
      <c r="B235" s="41"/>
      <c r="C235" s="41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1"/>
      <c r="B236" s="41"/>
      <c r="C236" s="41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1"/>
      <c r="B237" s="41"/>
      <c r="C237" s="41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1"/>
      <c r="B238" s="41"/>
      <c r="C238" s="41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1"/>
      <c r="B239" s="41"/>
      <c r="C239" s="41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1"/>
      <c r="B240" s="41"/>
      <c r="C240" s="41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1"/>
      <c r="B241" s="41"/>
      <c r="C241" s="41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1"/>
      <c r="B242" s="41"/>
      <c r="C242" s="41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1"/>
      <c r="B243" s="41"/>
      <c r="C243" s="41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1"/>
      <c r="B244" s="41"/>
      <c r="C244" s="41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1"/>
      <c r="B245" s="41"/>
      <c r="C245" s="41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1"/>
      <c r="B246" s="41"/>
      <c r="C246" s="41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1"/>
      <c r="B247" s="41"/>
      <c r="C247" s="41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1"/>
      <c r="B248" s="41"/>
      <c r="C248" s="41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1"/>
      <c r="B249" s="41"/>
      <c r="C249" s="41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1"/>
      <c r="B250" s="41"/>
      <c r="C250" s="41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1"/>
      <c r="B251" s="41"/>
      <c r="C251" s="41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1"/>
      <c r="B252" s="41"/>
      <c r="C252" s="41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1"/>
      <c r="B253" s="41"/>
      <c r="C253" s="41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1"/>
      <c r="B254" s="41"/>
      <c r="C254" s="41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1"/>
      <c r="B255" s="41"/>
      <c r="C255" s="41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1"/>
      <c r="B256" s="41"/>
      <c r="C256" s="41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1"/>
      <c r="B257" s="41"/>
      <c r="C257" s="41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1"/>
      <c r="B258" s="41"/>
      <c r="C258" s="41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1"/>
      <c r="B259" s="41"/>
      <c r="C259" s="41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1"/>
      <c r="B260" s="41"/>
      <c r="C260" s="41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1"/>
      <c r="B261" s="41"/>
      <c r="C261" s="41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1"/>
      <c r="B262" s="41"/>
      <c r="C262" s="41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1"/>
      <c r="B263" s="41"/>
      <c r="C263" s="41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1"/>
      <c r="B264" s="41"/>
      <c r="C264" s="41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1"/>
      <c r="B265" s="41"/>
      <c r="C265" s="41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1"/>
      <c r="B266" s="41"/>
      <c r="C266" s="41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1"/>
      <c r="B267" s="41"/>
      <c r="C267" s="41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1"/>
      <c r="B268" s="41"/>
      <c r="C268" s="41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1"/>
      <c r="B269" s="41"/>
      <c r="C269" s="41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1"/>
      <c r="B270" s="41"/>
      <c r="C270" s="41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1"/>
      <c r="B271" s="41"/>
      <c r="C271" s="41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1"/>
      <c r="B272" s="41"/>
      <c r="C272" s="41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1"/>
      <c r="B273" s="41"/>
      <c r="C273" s="41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1"/>
      <c r="B274" s="41"/>
      <c r="C274" s="41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1"/>
      <c r="B275" s="41"/>
      <c r="C275" s="41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1"/>
      <c r="B276" s="41"/>
      <c r="C276" s="41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1"/>
      <c r="B277" s="41"/>
      <c r="C277" s="41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1"/>
      <c r="B278" s="41"/>
      <c r="C278" s="41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1"/>
      <c r="B279" s="41"/>
      <c r="C279" s="41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1"/>
      <c r="B280" s="41"/>
      <c r="C280" s="41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1"/>
      <c r="B281" s="41"/>
      <c r="C281" s="41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1"/>
      <c r="B282" s="41"/>
      <c r="C282" s="41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1"/>
      <c r="B283" s="41"/>
      <c r="C283" s="41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1"/>
      <c r="B284" s="41"/>
      <c r="C284" s="41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1"/>
      <c r="B285" s="41"/>
      <c r="C285" s="41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1"/>
      <c r="B286" s="41"/>
      <c r="C286" s="41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1"/>
      <c r="B287" s="41"/>
      <c r="C287" s="41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1"/>
      <c r="B288" s="41"/>
      <c r="C288" s="41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1"/>
      <c r="B289" s="41"/>
      <c r="C289" s="41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1"/>
      <c r="B290" s="41"/>
      <c r="C290" s="41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1"/>
      <c r="B291" s="41"/>
      <c r="C291" s="41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1"/>
      <c r="B292" s="41"/>
      <c r="C292" s="41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1"/>
      <c r="B293" s="41"/>
      <c r="C293" s="41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1"/>
      <c r="B294" s="41"/>
      <c r="C294" s="41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1"/>
      <c r="B295" s="41"/>
      <c r="C295" s="41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1"/>
      <c r="B296" s="41"/>
      <c r="C296" s="41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1"/>
      <c r="B297" s="41"/>
      <c r="C297" s="41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1"/>
      <c r="B298" s="41"/>
      <c r="C298" s="41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1"/>
      <c r="B299" s="41"/>
      <c r="C299" s="41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1"/>
      <c r="B300" s="41"/>
      <c r="C300" s="41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1"/>
      <c r="B301" s="41"/>
      <c r="C301" s="41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1"/>
      <c r="B302" s="41"/>
      <c r="C302" s="41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1"/>
      <c r="B303" s="41"/>
      <c r="C303" s="41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1"/>
      <c r="B304" s="41"/>
      <c r="C304" s="41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1"/>
      <c r="B305" s="41"/>
      <c r="C305" s="41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1"/>
      <c r="B306" s="41"/>
      <c r="C306" s="41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1"/>
      <c r="B307" s="41"/>
      <c r="C307" s="41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1"/>
      <c r="B308" s="41"/>
      <c r="C308" s="41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1"/>
      <c r="B309" s="41"/>
      <c r="C309" s="41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1"/>
      <c r="B310" s="41"/>
      <c r="C310" s="41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1"/>
      <c r="B311" s="41"/>
      <c r="C311" s="41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1"/>
      <c r="B312" s="41"/>
      <c r="C312" s="41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1"/>
      <c r="B313" s="41"/>
      <c r="C313" s="41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1"/>
      <c r="B314" s="41"/>
      <c r="C314" s="41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1"/>
      <c r="B315" s="41"/>
      <c r="C315" s="41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1"/>
      <c r="B316" s="41"/>
      <c r="C316" s="41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1"/>
      <c r="B317" s="41"/>
      <c r="C317" s="41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1"/>
      <c r="B318" s="41"/>
      <c r="C318" s="41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1"/>
      <c r="B319" s="41"/>
      <c r="C319" s="41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1"/>
      <c r="B320" s="41"/>
      <c r="C320" s="41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1"/>
      <c r="B321" s="41"/>
      <c r="C321" s="41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1"/>
      <c r="B322" s="41"/>
      <c r="C322" s="41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1"/>
      <c r="B323" s="41"/>
      <c r="C323" s="41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1"/>
      <c r="B324" s="41"/>
      <c r="C324" s="41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2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3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115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3"/>
      <c r="L5" s="12" t="s">
        <v>5</v>
      </c>
      <c r="M5" s="1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4" t="s">
        <v>6</v>
      </c>
      <c r="B6" s="15"/>
      <c r="C6" s="16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8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0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0"/>
      <c r="B9" s="2">
        <v>1.0</v>
      </c>
      <c r="C9" s="3" t="s">
        <v>21</v>
      </c>
      <c r="D9" s="6">
        <v>3.678383403E9</v>
      </c>
      <c r="E9" s="6">
        <v>2.9551293E7</v>
      </c>
      <c r="F9" s="6">
        <f t="shared" ref="F9:F27" si="1">D9-E9</f>
        <v>3648832110</v>
      </c>
      <c r="G9" s="6">
        <v>3.606659841E9</v>
      </c>
      <c r="H9" s="6">
        <v>5290.0</v>
      </c>
      <c r="I9" s="6">
        <v>5384497.0</v>
      </c>
      <c r="J9" s="6">
        <v>4.6958163E7</v>
      </c>
      <c r="K9" s="4">
        <f t="shared" ref="K9:K27" si="2">I9-J9</f>
        <v>-41573666</v>
      </c>
      <c r="L9" s="4">
        <f>I9+Jan!L9</f>
        <v>8024804</v>
      </c>
      <c r="M9" s="4">
        <f>J9+Jan!M9</f>
        <v>95081261</v>
      </c>
      <c r="N9" s="4">
        <f t="shared" ref="N9:N27" si="3">L9-M9</f>
        <v>-87056457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0"/>
      <c r="B10" s="2">
        <f t="shared" ref="B10:B27" si="4">1+B9</f>
        <v>2</v>
      </c>
      <c r="C10" s="3" t="s">
        <v>22</v>
      </c>
      <c r="D10" s="6">
        <v>1.11764715129E9</v>
      </c>
      <c r="E10" s="6">
        <v>1.09300347E7</v>
      </c>
      <c r="F10" s="6">
        <f t="shared" si="1"/>
        <v>1106717117</v>
      </c>
      <c r="G10" s="6">
        <v>1.03670004425E9</v>
      </c>
      <c r="H10" s="6">
        <v>4210.0</v>
      </c>
      <c r="I10" s="6">
        <v>1.316339057E7</v>
      </c>
      <c r="J10" s="6">
        <v>1.319296069E7</v>
      </c>
      <c r="K10" s="4">
        <f t="shared" si="2"/>
        <v>-29570.12</v>
      </c>
      <c r="L10" s="4">
        <f>I10+Jan!L10</f>
        <v>24350175.22</v>
      </c>
      <c r="M10" s="4">
        <f>J10+Jan!M10</f>
        <v>103161174.8</v>
      </c>
      <c r="N10" s="4">
        <f t="shared" si="3"/>
        <v>-78810999.58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0"/>
      <c r="B11" s="2">
        <f t="shared" si="4"/>
        <v>3</v>
      </c>
      <c r="C11" s="3" t="s">
        <v>23</v>
      </c>
      <c r="D11" s="6">
        <v>1.07206997784E9</v>
      </c>
      <c r="E11" s="6">
        <v>7.775096485E7</v>
      </c>
      <c r="F11" s="6">
        <f t="shared" si="1"/>
        <v>994319013</v>
      </c>
      <c r="G11" s="6">
        <v>9.3161594415E8</v>
      </c>
      <c r="H11" s="6">
        <v>2348.0</v>
      </c>
      <c r="I11" s="6">
        <v>2000295.96</v>
      </c>
      <c r="J11" s="6">
        <v>7773113.83</v>
      </c>
      <c r="K11" s="4">
        <f t="shared" si="2"/>
        <v>-5772817.87</v>
      </c>
      <c r="L11" s="4">
        <f>I11+Jan!L11</f>
        <v>7939013.89</v>
      </c>
      <c r="M11" s="4">
        <f>J11+Jan!M11</f>
        <v>53821477.89</v>
      </c>
      <c r="N11" s="4">
        <f t="shared" si="3"/>
        <v>-45882464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0"/>
      <c r="B12" s="2">
        <f t="shared" si="4"/>
        <v>4</v>
      </c>
      <c r="C12" s="3" t="s">
        <v>24</v>
      </c>
      <c r="D12" s="6">
        <v>5.188595686E8</v>
      </c>
      <c r="E12" s="6">
        <v>2.016540503E7</v>
      </c>
      <c r="F12" s="6">
        <f t="shared" si="1"/>
        <v>498694163.6</v>
      </c>
      <c r="G12" s="6">
        <v>2.7663692615E8</v>
      </c>
      <c r="H12" s="6">
        <v>1706.0</v>
      </c>
      <c r="I12" s="6">
        <v>725792.5</v>
      </c>
      <c r="J12" s="6">
        <v>564740.09</v>
      </c>
      <c r="K12" s="4">
        <f t="shared" si="2"/>
        <v>161052.41</v>
      </c>
      <c r="L12" s="4">
        <f>I12+Jan!L12</f>
        <v>789292.5</v>
      </c>
      <c r="M12" s="4">
        <f>J12+Jan!M12</f>
        <v>17007176.34</v>
      </c>
      <c r="N12" s="4">
        <f t="shared" si="3"/>
        <v>-16217883.84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0"/>
      <c r="B13" s="2">
        <f t="shared" si="4"/>
        <v>5</v>
      </c>
      <c r="C13" s="3" t="s">
        <v>25</v>
      </c>
      <c r="D13" s="6">
        <v>2.79152771E8</v>
      </c>
      <c r="E13" s="6">
        <v>1.0583956E7</v>
      </c>
      <c r="F13" s="6">
        <f t="shared" si="1"/>
        <v>268568815</v>
      </c>
      <c r="G13" s="6">
        <v>2.63653374E8</v>
      </c>
      <c r="H13" s="6">
        <v>1065.0</v>
      </c>
      <c r="I13" s="6">
        <v>99185.0</v>
      </c>
      <c r="J13" s="6">
        <v>1.6654032E7</v>
      </c>
      <c r="K13" s="4">
        <f t="shared" si="2"/>
        <v>-16554847</v>
      </c>
      <c r="L13" s="4">
        <f>I13+Jan!L13</f>
        <v>248176</v>
      </c>
      <c r="M13" s="4">
        <f>J13+Jan!M13</f>
        <v>17384084</v>
      </c>
      <c r="N13" s="4">
        <f t="shared" si="3"/>
        <v>-17135908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2.64879203E9</v>
      </c>
      <c r="E14" s="6">
        <v>1.56007523E8</v>
      </c>
      <c r="F14" s="6">
        <f t="shared" si="1"/>
        <v>2492784507</v>
      </c>
      <c r="G14" s="6">
        <v>2.329860987E9</v>
      </c>
      <c r="H14" s="6">
        <v>15162.0</v>
      </c>
      <c r="I14" s="6">
        <v>1645204.0</v>
      </c>
      <c r="J14" s="6">
        <v>3.1133161E7</v>
      </c>
      <c r="K14" s="4">
        <f t="shared" si="2"/>
        <v>-29487957</v>
      </c>
      <c r="L14" s="4">
        <f>I14+Jan!L14</f>
        <v>8054336</v>
      </c>
      <c r="M14" s="4">
        <f>J14+Jan!M14</f>
        <v>77511419</v>
      </c>
      <c r="N14" s="4">
        <f t="shared" si="3"/>
        <v>-69457083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6.9102317E7</v>
      </c>
      <c r="E15" s="6">
        <v>403828.0</v>
      </c>
      <c r="F15" s="6">
        <f t="shared" si="1"/>
        <v>68698489</v>
      </c>
      <c r="G15" s="6">
        <v>6.7798081E7</v>
      </c>
      <c r="H15" s="6">
        <v>503.0</v>
      </c>
      <c r="I15" s="6">
        <v>137742.0</v>
      </c>
      <c r="J15" s="6">
        <v>362141.0</v>
      </c>
      <c r="K15" s="4">
        <f t="shared" si="2"/>
        <v>-224399</v>
      </c>
      <c r="L15" s="4">
        <f>I15+Jan!L15</f>
        <v>450962</v>
      </c>
      <c r="M15" s="4">
        <f>J15+Jan!M15</f>
        <v>477054</v>
      </c>
      <c r="N15" s="4">
        <f t="shared" si="3"/>
        <v>-26092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2.2351116E7</v>
      </c>
      <c r="E16" s="6">
        <v>653494.0</v>
      </c>
      <c r="F16" s="6">
        <f t="shared" si="1"/>
        <v>21697622</v>
      </c>
      <c r="G16" s="6">
        <v>1.9239167E7</v>
      </c>
      <c r="H16" s="6">
        <v>35.0</v>
      </c>
      <c r="I16" s="6">
        <v>0.0</v>
      </c>
      <c r="J16" s="6">
        <v>0.0</v>
      </c>
      <c r="K16" s="4">
        <f t="shared" si="2"/>
        <v>0</v>
      </c>
      <c r="L16" s="4">
        <f>I16+Jan!L16</f>
        <v>0</v>
      </c>
      <c r="M16" s="4">
        <f>J16+Jan!M16</f>
        <v>0</v>
      </c>
      <c r="N16" s="4">
        <f t="shared" si="3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9.4929385E8</v>
      </c>
      <c r="E17" s="6">
        <v>2.2894348E7</v>
      </c>
      <c r="F17" s="6">
        <f t="shared" si="1"/>
        <v>926399502</v>
      </c>
      <c r="G17" s="6">
        <v>9.39380229E8</v>
      </c>
      <c r="H17" s="6">
        <v>10374.0</v>
      </c>
      <c r="I17" s="6">
        <v>0.0</v>
      </c>
      <c r="J17" s="6">
        <v>7489189.0</v>
      </c>
      <c r="K17" s="4">
        <f t="shared" si="2"/>
        <v>-7489189</v>
      </c>
      <c r="L17" s="4">
        <f>I17+Jan!L17</f>
        <v>0</v>
      </c>
      <c r="M17" s="4">
        <f>J17+Jan!M17</f>
        <v>22836925</v>
      </c>
      <c r="N17" s="4">
        <f t="shared" si="3"/>
        <v>-22836925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2.952917109E9</v>
      </c>
      <c r="E18" s="6">
        <v>4.3247875E7</v>
      </c>
      <c r="F18" s="6">
        <f t="shared" si="1"/>
        <v>2909669234</v>
      </c>
      <c r="G18" s="6">
        <v>2.892320242E9</v>
      </c>
      <c r="H18" s="6">
        <v>9863.0</v>
      </c>
      <c r="I18" s="6">
        <v>0.0</v>
      </c>
      <c r="J18" s="6">
        <v>4.0639309E7</v>
      </c>
      <c r="K18" s="4">
        <f t="shared" si="2"/>
        <v>-40639309</v>
      </c>
      <c r="L18" s="4">
        <f>I18+Jan!L18</f>
        <v>0</v>
      </c>
      <c r="M18" s="4">
        <f>J18+Jan!M18</f>
        <v>64733324</v>
      </c>
      <c r="N18" s="4">
        <f t="shared" si="3"/>
        <v>-64733324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2.7067132909E9</v>
      </c>
      <c r="E19" s="6">
        <v>5.112771177E7</v>
      </c>
      <c r="F19" s="6">
        <f t="shared" si="1"/>
        <v>2655585579</v>
      </c>
      <c r="G19" s="6">
        <v>2.59089136303E9</v>
      </c>
      <c r="H19" s="6">
        <v>5155.0</v>
      </c>
      <c r="I19" s="6">
        <v>1.079562172E7</v>
      </c>
      <c r="J19" s="6">
        <v>9.595068664E7</v>
      </c>
      <c r="K19" s="4">
        <f t="shared" si="2"/>
        <v>-85155064.92</v>
      </c>
      <c r="L19" s="4">
        <f>I19+Jan!L19</f>
        <v>32059289.1</v>
      </c>
      <c r="M19" s="4">
        <f>J19+Jan!M19</f>
        <v>141736023.8</v>
      </c>
      <c r="N19" s="4">
        <f t="shared" si="3"/>
        <v>-109676734.7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8.65889033829E9</v>
      </c>
      <c r="E20" s="6">
        <v>1.153091849E8</v>
      </c>
      <c r="F20" s="6">
        <f t="shared" si="1"/>
        <v>8543581153</v>
      </c>
      <c r="G20" s="6">
        <v>8.13717733225E9</v>
      </c>
      <c r="H20" s="6">
        <v>30091.0</v>
      </c>
      <c r="I20" s="6">
        <v>1.028523299E7</v>
      </c>
      <c r="J20" s="6">
        <v>8.247508573E7</v>
      </c>
      <c r="K20" s="4">
        <f t="shared" si="2"/>
        <v>-72189852.74</v>
      </c>
      <c r="L20" s="4">
        <f>I20+Jan!L20</f>
        <v>20570465.98</v>
      </c>
      <c r="M20" s="4">
        <f>J20+Jan!M20</f>
        <v>164950171.5</v>
      </c>
      <c r="N20" s="4">
        <f t="shared" si="3"/>
        <v>-144379705.5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3.0646961453E8</v>
      </c>
      <c r="E21" s="6">
        <v>1001407.19</v>
      </c>
      <c r="F21" s="6">
        <f t="shared" si="1"/>
        <v>305468207.3</v>
      </c>
      <c r="G21" s="6">
        <v>3.0443687886E8</v>
      </c>
      <c r="H21" s="6">
        <v>869.0</v>
      </c>
      <c r="I21" s="6">
        <v>393524.1</v>
      </c>
      <c r="J21" s="6">
        <v>2.978491708E7</v>
      </c>
      <c r="K21" s="4">
        <f t="shared" si="2"/>
        <v>-29391392.98</v>
      </c>
      <c r="L21" s="4">
        <f>I21+Jan!L21</f>
        <v>678598.68</v>
      </c>
      <c r="M21" s="4">
        <f>J21+Jan!M21</f>
        <v>32378596.11</v>
      </c>
      <c r="N21" s="4">
        <f t="shared" si="3"/>
        <v>-31699997.43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3.11536376549E9</v>
      </c>
      <c r="E22" s="6">
        <v>2.216444857E7</v>
      </c>
      <c r="F22" s="6">
        <f t="shared" si="1"/>
        <v>3093199317</v>
      </c>
      <c r="G22" s="6">
        <v>3.06907642668E9</v>
      </c>
      <c r="H22" s="6">
        <v>21254.0</v>
      </c>
      <c r="I22" s="6">
        <v>3304246.13</v>
      </c>
      <c r="J22" s="6">
        <v>2.0213712505E8</v>
      </c>
      <c r="K22" s="4">
        <f t="shared" si="2"/>
        <v>-198832878.9</v>
      </c>
      <c r="L22" s="4">
        <f>I22+Jan!L22</f>
        <v>6587949.92</v>
      </c>
      <c r="M22" s="4">
        <f>J22+Jan!M22</f>
        <v>403122013.5</v>
      </c>
      <c r="N22" s="4">
        <f t="shared" si="3"/>
        <v>-396534063.6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5.456482389E9</v>
      </c>
      <c r="E23" s="6">
        <v>1.2826536E7</v>
      </c>
      <c r="F23" s="6">
        <f t="shared" si="1"/>
        <v>5443655853</v>
      </c>
      <c r="G23" s="6">
        <v>5.41477091E9</v>
      </c>
      <c r="H23" s="6">
        <v>11373.0</v>
      </c>
      <c r="I23" s="6">
        <v>779790.0</v>
      </c>
      <c r="J23" s="6">
        <v>1.23309036E8</v>
      </c>
      <c r="K23" s="4">
        <f t="shared" si="2"/>
        <v>-122529246</v>
      </c>
      <c r="L23" s="4">
        <f>I23+Jan!L23</f>
        <v>3305431</v>
      </c>
      <c r="M23" s="4">
        <f>J23+Jan!M23</f>
        <v>193456462</v>
      </c>
      <c r="N23" s="4">
        <f t="shared" si="3"/>
        <v>-190151031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3.82878929575E9</v>
      </c>
      <c r="E24" s="6">
        <v>5.022634889E7</v>
      </c>
      <c r="F24" s="6">
        <f t="shared" si="1"/>
        <v>3778562947</v>
      </c>
      <c r="G24" s="6">
        <v>3.56833032685E9</v>
      </c>
      <c r="H24" s="6">
        <v>11624.0</v>
      </c>
      <c r="I24" s="6">
        <v>294254.74</v>
      </c>
      <c r="J24" s="6">
        <v>9142988.38</v>
      </c>
      <c r="K24" s="4">
        <f t="shared" si="2"/>
        <v>-8848733.64</v>
      </c>
      <c r="L24" s="4">
        <f>I24+Jan!L24</f>
        <v>556907.6</v>
      </c>
      <c r="M24" s="4">
        <f>J24+Jan!M24</f>
        <v>11965167.68</v>
      </c>
      <c r="N24" s="4">
        <f t="shared" si="3"/>
        <v>-11408260.08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4.523408705E9</v>
      </c>
      <c r="E25" s="6">
        <v>6.627555E7</v>
      </c>
      <c r="F25" s="6">
        <f t="shared" si="1"/>
        <v>4457133155</v>
      </c>
      <c r="G25" s="6">
        <v>4.300845613E9</v>
      </c>
      <c r="H25" s="6">
        <v>67489.0</v>
      </c>
      <c r="I25" s="6">
        <v>7608969.0</v>
      </c>
      <c r="J25" s="6">
        <v>1.29802742E8</v>
      </c>
      <c r="K25" s="4">
        <f t="shared" si="2"/>
        <v>-122193773</v>
      </c>
      <c r="L25" s="4">
        <f>I25+Jan!L25</f>
        <v>21121099</v>
      </c>
      <c r="M25" s="4">
        <f>J25+Jan!M25</f>
        <v>262691170</v>
      </c>
      <c r="N25" s="4">
        <f t="shared" si="3"/>
        <v>-241570071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7.381946289E9</v>
      </c>
      <c r="E26" s="6">
        <v>6.0776258E7</v>
      </c>
      <c r="F26" s="6">
        <f t="shared" si="1"/>
        <v>7321170031</v>
      </c>
      <c r="G26" s="6">
        <v>7.28621849E9</v>
      </c>
      <c r="H26" s="6">
        <v>58522.0</v>
      </c>
      <c r="I26" s="6">
        <v>9444368.0</v>
      </c>
      <c r="J26" s="6">
        <v>1.63172801E8</v>
      </c>
      <c r="K26" s="4">
        <f t="shared" si="2"/>
        <v>-153728433</v>
      </c>
      <c r="L26" s="4">
        <f>I26+Jan!L26</f>
        <v>23927252</v>
      </c>
      <c r="M26" s="4">
        <f>J26+Jan!M26</f>
        <v>408513907</v>
      </c>
      <c r="N26" s="4">
        <f t="shared" si="3"/>
        <v>-384586655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5.6147379286E8</v>
      </c>
      <c r="E27" s="6">
        <v>2058816.66</v>
      </c>
      <c r="F27" s="6">
        <f t="shared" si="1"/>
        <v>559414976.2</v>
      </c>
      <c r="G27" s="6">
        <v>5.093238429E8</v>
      </c>
      <c r="H27" s="6">
        <v>1175.0</v>
      </c>
      <c r="I27" s="6">
        <v>141976.67</v>
      </c>
      <c r="J27" s="6">
        <v>301093.29</v>
      </c>
      <c r="K27" s="4">
        <f t="shared" si="2"/>
        <v>-159116.62</v>
      </c>
      <c r="L27" s="4">
        <f>I27+Jan!L27</f>
        <v>427295.53</v>
      </c>
      <c r="M27" s="4">
        <f>J27+Jan!M27</f>
        <v>771516.96</v>
      </c>
      <c r="N27" s="4">
        <f t="shared" si="3"/>
        <v>-344221.43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0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0"/>
      <c r="B29" s="2">
        <f>1+B27</f>
        <v>20</v>
      </c>
      <c r="C29" s="3" t="s">
        <v>41</v>
      </c>
      <c r="D29" s="6">
        <v>2.5619669533E8</v>
      </c>
      <c r="E29" s="6">
        <v>2846687.97</v>
      </c>
      <c r="F29" s="6">
        <f t="shared" ref="F29:F32" si="5">D29-E29</f>
        <v>253350007.4</v>
      </c>
      <c r="G29" s="6">
        <v>2.5502865947E8</v>
      </c>
      <c r="H29" s="6">
        <v>5195.0</v>
      </c>
      <c r="I29" s="6">
        <v>4900573.0</v>
      </c>
      <c r="J29" s="6">
        <v>1.135034072E7</v>
      </c>
      <c r="K29" s="4">
        <f t="shared" ref="K29:K32" si="6">I29-J29</f>
        <v>-6449767.72</v>
      </c>
      <c r="L29" s="4">
        <f>I29+Jan!L29</f>
        <v>11078953.43</v>
      </c>
      <c r="M29" s="4">
        <f>J29+Jan!M29</f>
        <v>41391374.78</v>
      </c>
      <c r="N29" s="4">
        <f t="shared" ref="N29:N32" si="7">L29-M29</f>
        <v>-30312421.35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0"/>
      <c r="B30" s="2">
        <f t="shared" ref="B30:B32" si="8">1+B29</f>
        <v>21</v>
      </c>
      <c r="C30" s="3" t="s">
        <v>42</v>
      </c>
      <c r="D30" s="6">
        <v>3.2552876295E8</v>
      </c>
      <c r="E30" s="6">
        <v>3335941.95</v>
      </c>
      <c r="F30" s="6">
        <f t="shared" si="5"/>
        <v>322192821</v>
      </c>
      <c r="G30" s="6">
        <v>2.404426765E8</v>
      </c>
      <c r="H30" s="6">
        <v>8510.0</v>
      </c>
      <c r="I30" s="6">
        <v>3451746.86</v>
      </c>
      <c r="J30" s="6">
        <v>1.111865718E7</v>
      </c>
      <c r="K30" s="4">
        <f t="shared" si="6"/>
        <v>-7666910.32</v>
      </c>
      <c r="L30" s="4">
        <f>I30+Jan!L30</f>
        <v>8347770.5</v>
      </c>
      <c r="M30" s="4">
        <f>J30+Jan!M30</f>
        <v>59115441.97</v>
      </c>
      <c r="N30" s="4">
        <f t="shared" si="7"/>
        <v>-50767671.47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2.1490906558E8</v>
      </c>
      <c r="E31" s="6">
        <v>2990476.13</v>
      </c>
      <c r="F31" s="6">
        <f t="shared" si="5"/>
        <v>211918589.5</v>
      </c>
      <c r="G31" s="6">
        <v>2.103081053E8</v>
      </c>
      <c r="H31" s="6">
        <v>1045.0</v>
      </c>
      <c r="I31" s="6">
        <v>168483.27</v>
      </c>
      <c r="J31" s="6">
        <v>3699126.0</v>
      </c>
      <c r="K31" s="4">
        <f t="shared" si="6"/>
        <v>-3530642.73</v>
      </c>
      <c r="L31" s="4">
        <f>I31+Jan!L31</f>
        <v>314992.6</v>
      </c>
      <c r="M31" s="4">
        <f>J31+Jan!M31</f>
        <v>6452822.94</v>
      </c>
      <c r="N31" s="4">
        <f t="shared" si="7"/>
        <v>-6137830.34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5.58979791E8</v>
      </c>
      <c r="E32" s="6">
        <v>4113835.0</v>
      </c>
      <c r="F32" s="6">
        <f t="shared" si="5"/>
        <v>554865956</v>
      </c>
      <c r="G32" s="6">
        <v>5.4984273E8</v>
      </c>
      <c r="H32" s="6">
        <v>799580.0</v>
      </c>
      <c r="I32" s="6">
        <v>1.5068268E7</v>
      </c>
      <c r="J32" s="6">
        <v>2.0407849E7</v>
      </c>
      <c r="K32" s="4">
        <f t="shared" si="6"/>
        <v>-5339581</v>
      </c>
      <c r="L32" s="4">
        <f>I32+Jan!L32</f>
        <v>23780577</v>
      </c>
      <c r="M32" s="4">
        <f>J32+Jan!M32</f>
        <v>97729204</v>
      </c>
      <c r="N32" s="4">
        <f t="shared" si="7"/>
        <v>-73948627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0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1.365982115E9</v>
      </c>
      <c r="E34" s="6">
        <v>2157787.0</v>
      </c>
      <c r="F34" s="6">
        <f>D34-E34</f>
        <v>1363824328</v>
      </c>
      <c r="G34" s="6">
        <v>1.364289439E9</v>
      </c>
      <c r="H34" s="6">
        <v>3234.0</v>
      </c>
      <c r="I34" s="6">
        <v>8414744.0</v>
      </c>
      <c r="J34" s="6">
        <v>4.8571714E7</v>
      </c>
      <c r="K34" s="4">
        <f>I34-J34</f>
        <v>-40156970</v>
      </c>
      <c r="L34" s="4">
        <f>I34+Jan!L34</f>
        <v>8414744</v>
      </c>
      <c r="M34" s="4">
        <f>J34+Jan!M34</f>
        <v>77125075</v>
      </c>
      <c r="N34" s="4">
        <f>L34-M34</f>
        <v>-68710331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46</v>
      </c>
      <c r="B35" s="25"/>
      <c r="C35" s="1"/>
      <c r="D35" s="26">
        <f t="shared" ref="D35:N35" si="9">SUM(D9:D34)</f>
        <v>52569703204</v>
      </c>
      <c r="E35" s="26">
        <f t="shared" si="9"/>
        <v>769399711.6</v>
      </c>
      <c r="F35" s="26">
        <f t="shared" si="9"/>
        <v>51800303493</v>
      </c>
      <c r="G35" s="26">
        <f t="shared" si="9"/>
        <v>50164847629</v>
      </c>
      <c r="H35" s="27">
        <f t="shared" si="9"/>
        <v>1075672</v>
      </c>
      <c r="I35" s="26">
        <f t="shared" si="9"/>
        <v>98207905.51</v>
      </c>
      <c r="J35" s="26">
        <f t="shared" si="9"/>
        <v>1095990972</v>
      </c>
      <c r="K35" s="26">
        <f t="shared" si="9"/>
        <v>-997783066.2</v>
      </c>
      <c r="L35" s="26">
        <f t="shared" si="9"/>
        <v>211028086</v>
      </c>
      <c r="M35" s="26">
        <f t="shared" si="9"/>
        <v>2353412843</v>
      </c>
      <c r="N35" s="26">
        <f t="shared" si="9"/>
        <v>-2142384757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0" t="s">
        <v>47</v>
      </c>
      <c r="B36" s="2"/>
      <c r="C36" s="3"/>
      <c r="D36" s="6"/>
      <c r="E36" s="6"/>
      <c r="F36" s="6"/>
      <c r="G36" s="6"/>
      <c r="H36" s="28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2.994933554E7</v>
      </c>
      <c r="E37" s="6">
        <v>345962.32</v>
      </c>
      <c r="F37" s="6">
        <f t="shared" ref="F37:F38" si="10">D37-E37</f>
        <v>29603373.22</v>
      </c>
      <c r="G37" s="6">
        <v>0.0</v>
      </c>
      <c r="H37" s="28">
        <v>43.0</v>
      </c>
      <c r="I37" s="6">
        <v>11488.02</v>
      </c>
      <c r="J37" s="6">
        <v>249258.69</v>
      </c>
      <c r="K37" s="4">
        <f t="shared" ref="K37:K38" si="11">I37-J37</f>
        <v>-237770.67</v>
      </c>
      <c r="L37" s="4">
        <f>I37+Jan!L37</f>
        <v>23219.41</v>
      </c>
      <c r="M37" s="4">
        <f>J37+Jan!M37</f>
        <v>4805385.86</v>
      </c>
      <c r="N37" s="4">
        <f t="shared" ref="N37:N38" si="12">L37-M37</f>
        <v>-4782166.45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2.502584706E9</v>
      </c>
      <c r="E38" s="6">
        <v>7.3412734E7</v>
      </c>
      <c r="F38" s="6">
        <f t="shared" si="10"/>
        <v>2429171972</v>
      </c>
      <c r="G38" s="6">
        <v>0.0</v>
      </c>
      <c r="H38" s="28">
        <v>3363.0</v>
      </c>
      <c r="I38" s="6">
        <v>1.12780395E8</v>
      </c>
      <c r="J38" s="6">
        <v>1.1569508E7</v>
      </c>
      <c r="K38" s="4">
        <f t="shared" si="11"/>
        <v>101210887</v>
      </c>
      <c r="L38" s="4">
        <f>I38+Jan!L38</f>
        <v>232027129</v>
      </c>
      <c r="M38" s="4">
        <f>J38+Jan!M38</f>
        <v>52635541</v>
      </c>
      <c r="N38" s="4">
        <f t="shared" si="12"/>
        <v>179391588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0" t="s">
        <v>109</v>
      </c>
      <c r="B39" s="2"/>
      <c r="C39" s="3"/>
      <c r="D39" s="6"/>
      <c r="E39" s="6"/>
      <c r="F39" s="6"/>
      <c r="G39" s="6"/>
      <c r="H39" s="28"/>
      <c r="I39" s="6"/>
      <c r="J39" s="6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3"/>
      <c r="B40" s="2">
        <f>1+B38</f>
        <v>27</v>
      </c>
      <c r="C40" s="3" t="s">
        <v>120</v>
      </c>
      <c r="D40" s="6">
        <v>495555.7</v>
      </c>
      <c r="E40" s="6">
        <v>0.0</v>
      </c>
      <c r="F40" s="6">
        <f>D40-E40</f>
        <v>495555.7</v>
      </c>
      <c r="G40" s="6">
        <v>0.0</v>
      </c>
      <c r="H40" s="28">
        <v>26.0</v>
      </c>
      <c r="I40" s="6">
        <v>495572.14</v>
      </c>
      <c r="J40" s="6">
        <v>0.0</v>
      </c>
      <c r="K40" s="4">
        <f>I40-J40</f>
        <v>495572.14</v>
      </c>
      <c r="L40" s="4">
        <f t="shared" ref="L40:M40" si="13">I40</f>
        <v>495572.14</v>
      </c>
      <c r="M40" s="4">
        <f t="shared" si="13"/>
        <v>0</v>
      </c>
      <c r="N40" s="4">
        <f>L40-M40</f>
        <v>495572.14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24" t="s">
        <v>50</v>
      </c>
      <c r="B41" s="25"/>
      <c r="C41" s="1"/>
      <c r="D41" s="26">
        <f t="shared" ref="D41:N41" si="14">SUM(D37:D38)+D40</f>
        <v>2533029597</v>
      </c>
      <c r="E41" s="26">
        <f t="shared" si="14"/>
        <v>73758696.32</v>
      </c>
      <c r="F41" s="26">
        <f t="shared" si="14"/>
        <v>2459270901</v>
      </c>
      <c r="G41" s="26">
        <f t="shared" si="14"/>
        <v>0</v>
      </c>
      <c r="H41" s="26">
        <f t="shared" si="14"/>
        <v>3432</v>
      </c>
      <c r="I41" s="26">
        <f t="shared" si="14"/>
        <v>113287455.2</v>
      </c>
      <c r="J41" s="26">
        <f t="shared" si="14"/>
        <v>11818766.69</v>
      </c>
      <c r="K41" s="26">
        <f t="shared" si="14"/>
        <v>101468688.5</v>
      </c>
      <c r="L41" s="26">
        <f t="shared" si="14"/>
        <v>232545920.6</v>
      </c>
      <c r="M41" s="26">
        <f t="shared" si="14"/>
        <v>57440926.86</v>
      </c>
      <c r="N41" s="26">
        <f t="shared" si="14"/>
        <v>175104993.7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2.0" customHeight="1">
      <c r="A42" s="1" t="s">
        <v>51</v>
      </c>
      <c r="B42" s="25"/>
      <c r="C42" s="1"/>
      <c r="D42" s="26">
        <f t="shared" ref="D42:N42" si="15">D35+D41</f>
        <v>55102732802</v>
      </c>
      <c r="E42" s="26">
        <f t="shared" si="15"/>
        <v>843158407.9</v>
      </c>
      <c r="F42" s="26">
        <f t="shared" si="15"/>
        <v>54259574394</v>
      </c>
      <c r="G42" s="26">
        <f t="shared" si="15"/>
        <v>50164847629</v>
      </c>
      <c r="H42" s="29">
        <f t="shared" si="15"/>
        <v>1079104</v>
      </c>
      <c r="I42" s="26">
        <f t="shared" si="15"/>
        <v>211495360.7</v>
      </c>
      <c r="J42" s="26">
        <f t="shared" si="15"/>
        <v>1107809738</v>
      </c>
      <c r="K42" s="26">
        <f t="shared" si="15"/>
        <v>-896314377.7</v>
      </c>
      <c r="L42" s="26">
        <f t="shared" si="15"/>
        <v>443574006.5</v>
      </c>
      <c r="M42" s="26">
        <f t="shared" si="15"/>
        <v>2410853770</v>
      </c>
      <c r="N42" s="26">
        <f t="shared" si="15"/>
        <v>-1967279764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2.0" customHeight="1">
      <c r="A43" s="1" t="s">
        <v>52</v>
      </c>
      <c r="B43" s="2"/>
      <c r="C43" s="3"/>
      <c r="D43" s="30"/>
      <c r="E43" s="30"/>
      <c r="F43" s="30"/>
      <c r="G43" s="30"/>
      <c r="H43" s="31"/>
      <c r="I43" s="30"/>
      <c r="J43" s="30"/>
      <c r="K43" s="30"/>
      <c r="L43" s="30"/>
      <c r="M43" s="30"/>
      <c r="N43" s="3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20" t="s">
        <v>20</v>
      </c>
      <c r="B44" s="2"/>
      <c r="C44" s="3"/>
      <c r="D44" s="6"/>
      <c r="E44" s="6"/>
      <c r="F44" s="6"/>
      <c r="G44" s="6"/>
      <c r="H44" s="32"/>
      <c r="I44" s="6"/>
      <c r="J44" s="4"/>
      <c r="K44" s="4"/>
      <c r="L44" s="4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>1+B40</f>
        <v>28</v>
      </c>
      <c r="C45" s="3" t="s">
        <v>53</v>
      </c>
      <c r="D45" s="6">
        <v>3.9654216784E8</v>
      </c>
      <c r="E45" s="4">
        <v>1133095.13</v>
      </c>
      <c r="F45" s="6">
        <f t="shared" ref="F45:F54" si="16">D45-E45</f>
        <v>395409072.7</v>
      </c>
      <c r="G45" s="6">
        <v>2.098468568E8</v>
      </c>
      <c r="H45" s="28">
        <v>2320.0</v>
      </c>
      <c r="I45" s="6">
        <v>490945.49</v>
      </c>
      <c r="J45" s="6">
        <v>5293097.31</v>
      </c>
      <c r="K45" s="4">
        <f t="shared" ref="K45:K54" si="17">I45-J45</f>
        <v>-4802151.82</v>
      </c>
      <c r="L45" s="4">
        <f>I45+Jan!L43</f>
        <v>979245.3</v>
      </c>
      <c r="M45" s="4">
        <f>J45+Jan!M43</f>
        <v>10272186.33</v>
      </c>
      <c r="N45" s="4">
        <f t="shared" ref="N45:N54" si="18">L45-M45</f>
        <v>-9292941.03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ref="B46:B54" si="19">1+B45</f>
        <v>29</v>
      </c>
      <c r="C46" s="3" t="s">
        <v>54</v>
      </c>
      <c r="D46" s="6">
        <v>1.1699287287E8</v>
      </c>
      <c r="E46" s="4">
        <v>228982.01</v>
      </c>
      <c r="F46" s="6">
        <f t="shared" si="16"/>
        <v>116763890.9</v>
      </c>
      <c r="G46" s="6">
        <v>3.23376217E7</v>
      </c>
      <c r="H46" s="28">
        <v>850.0</v>
      </c>
      <c r="I46" s="6">
        <v>179113.49</v>
      </c>
      <c r="J46" s="6">
        <v>1646980.34</v>
      </c>
      <c r="K46" s="4">
        <f t="shared" si="17"/>
        <v>-1467866.85</v>
      </c>
      <c r="L46" s="4">
        <f>I46+Jan!L44</f>
        <v>811012.36</v>
      </c>
      <c r="M46" s="4">
        <f>J46+Jan!M44</f>
        <v>3322278.96</v>
      </c>
      <c r="N46" s="4">
        <f t="shared" si="18"/>
        <v>-2511266.6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9"/>
        <v>30</v>
      </c>
      <c r="C47" s="3" t="s">
        <v>55</v>
      </c>
      <c r="D47" s="6">
        <v>5.76401023E8</v>
      </c>
      <c r="E47" s="4">
        <v>2468913.0</v>
      </c>
      <c r="F47" s="6">
        <f t="shared" si="16"/>
        <v>573932110</v>
      </c>
      <c r="G47" s="6">
        <v>3.04741794E8</v>
      </c>
      <c r="H47" s="28">
        <v>4521.0</v>
      </c>
      <c r="I47" s="6">
        <v>322767.0</v>
      </c>
      <c r="J47" s="6">
        <v>8814729.0</v>
      </c>
      <c r="K47" s="4">
        <f t="shared" si="17"/>
        <v>-8491962</v>
      </c>
      <c r="L47" s="4">
        <f>I47+Jan!L45</f>
        <v>873666</v>
      </c>
      <c r="M47" s="4">
        <f>J47+Jan!M45</f>
        <v>17077743</v>
      </c>
      <c r="N47" s="4">
        <f t="shared" si="18"/>
        <v>-16204077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9"/>
        <v>31</v>
      </c>
      <c r="C48" s="3" t="s">
        <v>56</v>
      </c>
      <c r="D48" s="6">
        <v>4.76714968E8</v>
      </c>
      <c r="E48" s="4">
        <v>1587680.0</v>
      </c>
      <c r="F48" s="6">
        <f t="shared" si="16"/>
        <v>475127288</v>
      </c>
      <c r="G48" s="6">
        <v>2.50350982E8</v>
      </c>
      <c r="H48" s="28">
        <v>582.0</v>
      </c>
      <c r="I48" s="6">
        <v>1.1118609E7</v>
      </c>
      <c r="J48" s="6">
        <v>1421986.0</v>
      </c>
      <c r="K48" s="4">
        <f t="shared" si="17"/>
        <v>9696623</v>
      </c>
      <c r="L48" s="4">
        <f>I48+Jan!L46</f>
        <v>17299307</v>
      </c>
      <c r="M48" s="4">
        <f>J48+Jan!M46</f>
        <v>2969117</v>
      </c>
      <c r="N48" s="4">
        <f t="shared" si="18"/>
        <v>14330190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9"/>
        <v>32</v>
      </c>
      <c r="C49" s="3" t="s">
        <v>57</v>
      </c>
      <c r="D49" s="6">
        <v>3.36673897E8</v>
      </c>
      <c r="E49" s="4">
        <v>2232667.0</v>
      </c>
      <c r="F49" s="6">
        <f t="shared" si="16"/>
        <v>334441230</v>
      </c>
      <c r="G49" s="6">
        <v>1.70249971E8</v>
      </c>
      <c r="H49" s="28">
        <v>45.0</v>
      </c>
      <c r="I49" s="6">
        <v>0.0</v>
      </c>
      <c r="J49" s="6">
        <v>0.0</v>
      </c>
      <c r="K49" s="4">
        <f t="shared" si="17"/>
        <v>0</v>
      </c>
      <c r="L49" s="4">
        <f>I49+Jan!L47</f>
        <v>0</v>
      </c>
      <c r="M49" s="4">
        <f>J49+Jan!M47</f>
        <v>0</v>
      </c>
      <c r="N49" s="4">
        <f t="shared" si="18"/>
        <v>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f t="shared" si="19"/>
        <v>33</v>
      </c>
      <c r="C50" s="3" t="s">
        <v>58</v>
      </c>
      <c r="D50" s="6">
        <v>4.15347264E8</v>
      </c>
      <c r="E50" s="4">
        <v>5089125.0</v>
      </c>
      <c r="F50" s="6">
        <f t="shared" si="16"/>
        <v>410258139</v>
      </c>
      <c r="G50" s="6">
        <v>2.1142649E8</v>
      </c>
      <c r="H50" s="28">
        <v>9367.0</v>
      </c>
      <c r="I50" s="6">
        <v>5910.0</v>
      </c>
      <c r="J50" s="6">
        <v>2644947.0</v>
      </c>
      <c r="K50" s="4">
        <f t="shared" si="17"/>
        <v>-2639037</v>
      </c>
      <c r="L50" s="4">
        <f>I50+Jan!L48</f>
        <v>39920</v>
      </c>
      <c r="M50" s="4">
        <f>J50+Jan!M48</f>
        <v>4892896</v>
      </c>
      <c r="N50" s="4">
        <f t="shared" si="18"/>
        <v>-4852976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9"/>
        <v>34</v>
      </c>
      <c r="C51" s="3" t="s">
        <v>59</v>
      </c>
      <c r="D51" s="6">
        <v>1.732834208E9</v>
      </c>
      <c r="E51" s="4">
        <v>2.4767024E7</v>
      </c>
      <c r="F51" s="6">
        <f t="shared" si="16"/>
        <v>1708067184</v>
      </c>
      <c r="G51" s="6">
        <v>8.80636347E8</v>
      </c>
      <c r="H51" s="28">
        <v>6597.0</v>
      </c>
      <c r="I51" s="6">
        <v>1344883.0</v>
      </c>
      <c r="J51" s="6">
        <v>2.3086629E7</v>
      </c>
      <c r="K51" s="4">
        <f t="shared" si="17"/>
        <v>-21741746</v>
      </c>
      <c r="L51" s="4">
        <f>I51+Jan!L49</f>
        <v>1671808</v>
      </c>
      <c r="M51" s="4">
        <f>J51+Jan!M49</f>
        <v>35053732</v>
      </c>
      <c r="N51" s="4">
        <f t="shared" si="18"/>
        <v>-33381924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1.25" customHeight="1">
      <c r="A52" s="20"/>
      <c r="B52" s="2">
        <f t="shared" si="19"/>
        <v>35</v>
      </c>
      <c r="C52" s="3" t="s">
        <v>60</v>
      </c>
      <c r="D52" s="6">
        <v>1.19371502E8</v>
      </c>
      <c r="E52" s="4">
        <v>142278.0</v>
      </c>
      <c r="F52" s="6">
        <f t="shared" si="16"/>
        <v>119229224</v>
      </c>
      <c r="G52" s="6">
        <v>6.096406E7</v>
      </c>
      <c r="H52" s="28">
        <v>149.0</v>
      </c>
      <c r="I52" s="6">
        <v>0.0</v>
      </c>
      <c r="J52" s="6">
        <v>922888.0</v>
      </c>
      <c r="K52" s="4">
        <f t="shared" si="17"/>
        <v>-922888</v>
      </c>
      <c r="L52" s="4">
        <f>I52+Jan!L50</f>
        <v>0</v>
      </c>
      <c r="M52" s="4">
        <f>J52+Jan!M50</f>
        <v>1436602</v>
      </c>
      <c r="N52" s="4">
        <f t="shared" si="18"/>
        <v>-1436602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f t="shared" si="19"/>
        <v>36</v>
      </c>
      <c r="C53" s="3" t="s">
        <v>61</v>
      </c>
      <c r="D53" s="6">
        <v>5.01404415E9</v>
      </c>
      <c r="E53" s="4">
        <v>4.3218435E7</v>
      </c>
      <c r="F53" s="6">
        <f t="shared" si="16"/>
        <v>4970825715</v>
      </c>
      <c r="G53" s="6">
        <v>2.516123925E9</v>
      </c>
      <c r="H53" s="28">
        <v>54836.0</v>
      </c>
      <c r="I53" s="6">
        <v>4592784.0</v>
      </c>
      <c r="J53" s="6">
        <v>7.3122278E7</v>
      </c>
      <c r="K53" s="4">
        <f t="shared" si="17"/>
        <v>-68529494</v>
      </c>
      <c r="L53" s="4">
        <f>I53+Jan!L51</f>
        <v>9168677</v>
      </c>
      <c r="M53" s="4">
        <f>J53+Jan!M51</f>
        <v>143370914</v>
      </c>
      <c r="N53" s="4">
        <f t="shared" si="18"/>
        <v>-134202237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 t="shared" si="19"/>
        <v>37</v>
      </c>
      <c r="C54" s="3" t="s">
        <v>62</v>
      </c>
      <c r="D54" s="6">
        <v>4.53849324E8</v>
      </c>
      <c r="E54" s="4">
        <v>2504188.0</v>
      </c>
      <c r="F54" s="6">
        <f t="shared" si="16"/>
        <v>451345136</v>
      </c>
      <c r="G54" s="6">
        <v>2.34581313E8</v>
      </c>
      <c r="H54" s="28">
        <v>5003.0</v>
      </c>
      <c r="I54" s="6">
        <v>0.0</v>
      </c>
      <c r="J54" s="6">
        <v>6517746.0</v>
      </c>
      <c r="K54" s="4">
        <f t="shared" si="17"/>
        <v>-6517746</v>
      </c>
      <c r="L54" s="4">
        <f>I54+Jan!L52</f>
        <v>0</v>
      </c>
      <c r="M54" s="4">
        <f>J54+Jan!M52</f>
        <v>21868659</v>
      </c>
      <c r="N54" s="4">
        <f t="shared" si="18"/>
        <v>-21868659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0" t="s">
        <v>40</v>
      </c>
      <c r="B55" s="2"/>
      <c r="C55" s="3"/>
      <c r="D55" s="6"/>
      <c r="E55" s="4"/>
      <c r="F55" s="6"/>
      <c r="G55" s="6"/>
      <c r="H55" s="28"/>
      <c r="I55" s="6"/>
      <c r="J55" s="6"/>
      <c r="K55" s="4"/>
      <c r="L55" s="4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0"/>
      <c r="B56" s="2">
        <f>1+B54</f>
        <v>38</v>
      </c>
      <c r="C56" s="3" t="s">
        <v>121</v>
      </c>
      <c r="D56" s="6">
        <v>1.020498755E9</v>
      </c>
      <c r="E56" s="4">
        <v>3570154.0</v>
      </c>
      <c r="F56" s="6">
        <f t="shared" ref="F56:F59" si="20">D56-E56</f>
        <v>1016928601</v>
      </c>
      <c r="G56" s="6">
        <v>7.528008E7</v>
      </c>
      <c r="H56" s="28">
        <v>27426.0</v>
      </c>
      <c r="I56" s="6">
        <v>2.6393123E7</v>
      </c>
      <c r="J56" s="6">
        <v>6636181.0</v>
      </c>
      <c r="K56" s="4">
        <f t="shared" ref="K56:K59" si="21">I56-J56</f>
        <v>19756942</v>
      </c>
      <c r="L56" s="4">
        <f>I56+Jan!L54</f>
        <v>74026495</v>
      </c>
      <c r="M56" s="4">
        <f>J56+Jan!M54</f>
        <v>14821993</v>
      </c>
      <c r="N56" s="4">
        <f t="shared" ref="N56:N59" si="22">L56-M56</f>
        <v>59204502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3"/>
      <c r="B57" s="2">
        <f t="shared" ref="B57:B59" si="23">1+B56</f>
        <v>39</v>
      </c>
      <c r="C57" s="3" t="s">
        <v>64</v>
      </c>
      <c r="D57" s="6">
        <v>6.928006E7</v>
      </c>
      <c r="E57" s="4">
        <v>482303.0</v>
      </c>
      <c r="F57" s="6">
        <f t="shared" si="20"/>
        <v>68797757</v>
      </c>
      <c r="G57" s="6">
        <v>1.1189025E7</v>
      </c>
      <c r="H57" s="28">
        <v>1279.0</v>
      </c>
      <c r="I57" s="6">
        <v>38000.0</v>
      </c>
      <c r="J57" s="6">
        <v>1093529.0</v>
      </c>
      <c r="K57" s="4">
        <f t="shared" si="21"/>
        <v>-1055529</v>
      </c>
      <c r="L57" s="4">
        <f>I57+Jan!L55</f>
        <v>96000</v>
      </c>
      <c r="M57" s="4">
        <f>J57+Jan!M55</f>
        <v>2266432</v>
      </c>
      <c r="N57" s="4">
        <f t="shared" si="22"/>
        <v>-2170432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3"/>
      <c r="B58" s="2">
        <f t="shared" si="23"/>
        <v>40</v>
      </c>
      <c r="C58" s="3" t="s">
        <v>65</v>
      </c>
      <c r="D58" s="6">
        <v>5.4645178E7</v>
      </c>
      <c r="E58" s="4">
        <v>330010.0</v>
      </c>
      <c r="F58" s="6">
        <f t="shared" si="20"/>
        <v>54315168</v>
      </c>
      <c r="G58" s="6">
        <v>3.7778736E7</v>
      </c>
      <c r="H58" s="28">
        <v>520.0</v>
      </c>
      <c r="I58" s="6">
        <v>10500.0</v>
      </c>
      <c r="J58" s="6">
        <v>183870.0</v>
      </c>
      <c r="K58" s="4">
        <f t="shared" si="21"/>
        <v>-173370</v>
      </c>
      <c r="L58" s="4">
        <f>I58+Jan!L56</f>
        <v>20000</v>
      </c>
      <c r="M58" s="4">
        <f>J58+Jan!M56</f>
        <v>417706</v>
      </c>
      <c r="N58" s="4">
        <f t="shared" si="22"/>
        <v>-397706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f t="shared" si="23"/>
        <v>41</v>
      </c>
      <c r="C59" s="3" t="s">
        <v>66</v>
      </c>
      <c r="D59" s="6">
        <v>5.0311103E7</v>
      </c>
      <c r="E59" s="4">
        <v>237695.0</v>
      </c>
      <c r="F59" s="6">
        <f t="shared" si="20"/>
        <v>50073408</v>
      </c>
      <c r="G59" s="6">
        <v>4.1549266E7</v>
      </c>
      <c r="H59" s="28">
        <v>257.0</v>
      </c>
      <c r="I59" s="6">
        <v>8000.0</v>
      </c>
      <c r="J59" s="6">
        <v>302360.0</v>
      </c>
      <c r="K59" s="4">
        <f t="shared" si="21"/>
        <v>-294360</v>
      </c>
      <c r="L59" s="4">
        <f>I59+Jan!L57</f>
        <v>24000</v>
      </c>
      <c r="M59" s="4">
        <f>J59+Jan!M57</f>
        <v>512861</v>
      </c>
      <c r="N59" s="4">
        <f t="shared" si="22"/>
        <v>-488861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4" t="s">
        <v>46</v>
      </c>
      <c r="B60" s="24"/>
      <c r="C60" s="1"/>
      <c r="D60" s="26">
        <f t="shared" ref="D60:N60" si="24">SUM(D45:D59)</f>
        <v>10833506473</v>
      </c>
      <c r="E60" s="26">
        <f t="shared" si="24"/>
        <v>87992549.14</v>
      </c>
      <c r="F60" s="26">
        <f t="shared" si="24"/>
        <v>10745513924</v>
      </c>
      <c r="G60" s="26">
        <f t="shared" si="24"/>
        <v>5037056468</v>
      </c>
      <c r="H60" s="26">
        <f t="shared" si="24"/>
        <v>113752</v>
      </c>
      <c r="I60" s="26">
        <f t="shared" si="24"/>
        <v>44504634.98</v>
      </c>
      <c r="J60" s="26">
        <f t="shared" si="24"/>
        <v>131687220.7</v>
      </c>
      <c r="K60" s="26">
        <f t="shared" si="24"/>
        <v>-87182585.67</v>
      </c>
      <c r="L60" s="26">
        <f t="shared" si="24"/>
        <v>105010130.7</v>
      </c>
      <c r="M60" s="26">
        <f t="shared" si="24"/>
        <v>258283120.3</v>
      </c>
      <c r="N60" s="26">
        <f t="shared" si="24"/>
        <v>-153272989.6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2.0" customHeight="1">
      <c r="A61" s="20" t="s">
        <v>47</v>
      </c>
      <c r="B61" s="2"/>
      <c r="C61" s="3"/>
      <c r="D61" s="6"/>
      <c r="E61" s="6"/>
      <c r="F61" s="6"/>
      <c r="G61" s="6"/>
      <c r="H61" s="32"/>
      <c r="I61" s="6"/>
      <c r="J61" s="4"/>
      <c r="K61" s="4"/>
      <c r="L61" s="4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0"/>
      <c r="B62" s="2">
        <f>1+B59</f>
        <v>42</v>
      </c>
      <c r="C62" s="3" t="s">
        <v>67</v>
      </c>
      <c r="D62" s="6">
        <v>7.085139856E7</v>
      </c>
      <c r="E62" s="6">
        <v>305388.07</v>
      </c>
      <c r="F62" s="6">
        <f t="shared" ref="F62:F65" si="25">D62-E62</f>
        <v>70546010.49</v>
      </c>
      <c r="G62" s="6">
        <v>0.0</v>
      </c>
      <c r="H62" s="28">
        <v>49.0</v>
      </c>
      <c r="I62" s="6">
        <v>0.0</v>
      </c>
      <c r="J62" s="6">
        <v>0.0</v>
      </c>
      <c r="K62" s="4">
        <f t="shared" ref="K62:K65" si="26">I62-J62</f>
        <v>0</v>
      </c>
      <c r="L62" s="4">
        <f>I62+Jan!L60</f>
        <v>0</v>
      </c>
      <c r="M62" s="4">
        <f>J62+Jan!M60</f>
        <v>0</v>
      </c>
      <c r="N62" s="4">
        <f t="shared" ref="N62:N65" si="27">L62-M62</f>
        <v>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0"/>
      <c r="B63" s="2">
        <f t="shared" ref="B63:B65" si="28">1+B62</f>
        <v>43</v>
      </c>
      <c r="C63" s="3" t="s">
        <v>68</v>
      </c>
      <c r="D63" s="6">
        <v>3.38808814E8</v>
      </c>
      <c r="E63" s="6">
        <v>628487.0</v>
      </c>
      <c r="F63" s="6">
        <f t="shared" si="25"/>
        <v>338180327</v>
      </c>
      <c r="G63" s="6">
        <v>1.80016162E8</v>
      </c>
      <c r="H63" s="28">
        <v>195.0</v>
      </c>
      <c r="I63" s="6">
        <v>0.0</v>
      </c>
      <c r="J63" s="6">
        <v>1707612.0</v>
      </c>
      <c r="K63" s="4">
        <f t="shared" si="26"/>
        <v>-1707612</v>
      </c>
      <c r="L63" s="4">
        <f>I63+Jan!L61</f>
        <v>0</v>
      </c>
      <c r="M63" s="4">
        <f>J63+Jan!M61</f>
        <v>5869644</v>
      </c>
      <c r="N63" s="4">
        <f t="shared" si="27"/>
        <v>-5869644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3"/>
      <c r="B64" s="2">
        <f t="shared" si="28"/>
        <v>44</v>
      </c>
      <c r="C64" s="3" t="s">
        <v>69</v>
      </c>
      <c r="D64" s="6">
        <v>1.795327392E9</v>
      </c>
      <c r="E64" s="6">
        <v>6.2318985E7</v>
      </c>
      <c r="F64" s="6">
        <f t="shared" si="25"/>
        <v>1733008407</v>
      </c>
      <c r="G64" s="6">
        <v>0.0</v>
      </c>
      <c r="H64" s="28">
        <v>4356.0</v>
      </c>
      <c r="I64" s="6">
        <v>5070688.0</v>
      </c>
      <c r="J64" s="6">
        <v>3.2629035E7</v>
      </c>
      <c r="K64" s="4">
        <f t="shared" si="26"/>
        <v>-27558347</v>
      </c>
      <c r="L64" s="4">
        <f>I64+Jan!L62</f>
        <v>9039325</v>
      </c>
      <c r="M64" s="4">
        <f>J64+Jan!M62</f>
        <v>102468759</v>
      </c>
      <c r="N64" s="4">
        <f t="shared" si="27"/>
        <v>-93429434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f t="shared" si="28"/>
        <v>45</v>
      </c>
      <c r="C65" s="3" t="s">
        <v>70</v>
      </c>
      <c r="D65" s="6">
        <v>2.23983751E8</v>
      </c>
      <c r="E65" s="6">
        <v>1.148365E7</v>
      </c>
      <c r="F65" s="6">
        <f t="shared" si="25"/>
        <v>212500101</v>
      </c>
      <c r="G65" s="6">
        <v>0.0</v>
      </c>
      <c r="H65" s="28">
        <v>783.0</v>
      </c>
      <c r="I65" s="6">
        <v>57915.0</v>
      </c>
      <c r="J65" s="6">
        <v>6080551.0</v>
      </c>
      <c r="K65" s="4">
        <f t="shared" si="26"/>
        <v>-6022636</v>
      </c>
      <c r="L65" s="4">
        <f>I65+Jan!L63</f>
        <v>265719</v>
      </c>
      <c r="M65" s="4">
        <f>J65+Jan!M63</f>
        <v>10971100</v>
      </c>
      <c r="N65" s="4">
        <f t="shared" si="27"/>
        <v>-10705381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4" t="s">
        <v>50</v>
      </c>
      <c r="B66" s="25"/>
      <c r="C66" s="1"/>
      <c r="D66" s="26">
        <f t="shared" ref="D66:N66" si="29">SUM(D62:D65)</f>
        <v>2428971356</v>
      </c>
      <c r="E66" s="26">
        <f t="shared" si="29"/>
        <v>74736510.07</v>
      </c>
      <c r="F66" s="26">
        <f t="shared" si="29"/>
        <v>2354234845</v>
      </c>
      <c r="G66" s="26">
        <f t="shared" si="29"/>
        <v>180016162</v>
      </c>
      <c r="H66" s="27">
        <f t="shared" si="29"/>
        <v>5383</v>
      </c>
      <c r="I66" s="26">
        <f t="shared" si="29"/>
        <v>5128603</v>
      </c>
      <c r="J66" s="26">
        <f t="shared" si="29"/>
        <v>40417198</v>
      </c>
      <c r="K66" s="26">
        <f t="shared" si="29"/>
        <v>-35288595</v>
      </c>
      <c r="L66" s="26">
        <f t="shared" si="29"/>
        <v>9305044</v>
      </c>
      <c r="M66" s="26">
        <f t="shared" si="29"/>
        <v>119309503</v>
      </c>
      <c r="N66" s="26">
        <f t="shared" si="29"/>
        <v>-110004459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2.0" customHeight="1">
      <c r="A67" s="1" t="s">
        <v>71</v>
      </c>
      <c r="B67" s="25"/>
      <c r="C67" s="1"/>
      <c r="D67" s="26">
        <f t="shared" ref="D67:N67" si="30">D60+D66</f>
        <v>13262477828</v>
      </c>
      <c r="E67" s="26">
        <f t="shared" si="30"/>
        <v>162729059.2</v>
      </c>
      <c r="F67" s="26">
        <f t="shared" si="30"/>
        <v>13099748769</v>
      </c>
      <c r="G67" s="26">
        <f t="shared" si="30"/>
        <v>5217072630</v>
      </c>
      <c r="H67" s="27">
        <f t="shared" si="30"/>
        <v>119135</v>
      </c>
      <c r="I67" s="26">
        <f t="shared" si="30"/>
        <v>49633237.98</v>
      </c>
      <c r="J67" s="26">
        <f t="shared" si="30"/>
        <v>172104418.7</v>
      </c>
      <c r="K67" s="26">
        <f t="shared" si="30"/>
        <v>-122471180.7</v>
      </c>
      <c r="L67" s="26">
        <f t="shared" si="30"/>
        <v>114315174.7</v>
      </c>
      <c r="M67" s="26">
        <f t="shared" si="30"/>
        <v>377592623.3</v>
      </c>
      <c r="N67" s="26">
        <f t="shared" si="30"/>
        <v>-263277448.6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2.0" customHeight="1">
      <c r="A68" s="1" t="s">
        <v>72</v>
      </c>
      <c r="B68" s="2"/>
      <c r="C68" s="3"/>
      <c r="D68" s="6"/>
      <c r="E68" s="6"/>
      <c r="F68" s="6"/>
      <c r="G68" s="6"/>
      <c r="H68" s="28"/>
      <c r="I68" s="6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20" t="s">
        <v>20</v>
      </c>
      <c r="B69" s="2"/>
      <c r="C69" s="3"/>
      <c r="D69" s="6"/>
      <c r="E69" s="6"/>
      <c r="F69" s="6"/>
      <c r="G69" s="6"/>
      <c r="H69" s="32"/>
      <c r="I69" s="6"/>
      <c r="J69" s="4"/>
      <c r="K69" s="4"/>
      <c r="L69" s="4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f>1+B65</f>
        <v>46</v>
      </c>
      <c r="C70" s="3" t="s">
        <v>73</v>
      </c>
      <c r="D70" s="6">
        <v>3.4895713674E10</v>
      </c>
      <c r="E70" s="6">
        <v>1.94834094E8</v>
      </c>
      <c r="F70" s="6">
        <f t="shared" ref="F70:F80" si="31">D70-E70</f>
        <v>34700879580</v>
      </c>
      <c r="G70" s="6">
        <v>3.6E8</v>
      </c>
      <c r="H70" s="28">
        <v>24693.0</v>
      </c>
      <c r="I70" s="6">
        <v>2.34658348E8</v>
      </c>
      <c r="J70" s="6">
        <v>2.91718039E8</v>
      </c>
      <c r="K70" s="4">
        <f t="shared" ref="K70:K80" si="32">I70-J70</f>
        <v>-57059691</v>
      </c>
      <c r="L70" s="4">
        <f>I70+Jan!L68</f>
        <v>432168098</v>
      </c>
      <c r="M70" s="4">
        <f>J70+Jan!M68</f>
        <v>559745744</v>
      </c>
      <c r="N70" s="4">
        <f t="shared" ref="N70:N80" si="33">L70-M70</f>
        <v>-127577646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ref="B71:B80" si="34">1+B70</f>
        <v>47</v>
      </c>
      <c r="C71" s="3" t="s">
        <v>74</v>
      </c>
      <c r="D71" s="6">
        <v>2.4154316569E8</v>
      </c>
      <c r="E71" s="6">
        <v>1.378089918E7</v>
      </c>
      <c r="F71" s="6">
        <f t="shared" si="31"/>
        <v>227762266.5</v>
      </c>
      <c r="G71" s="6">
        <v>0.0</v>
      </c>
      <c r="H71" s="28">
        <v>882.0</v>
      </c>
      <c r="I71" s="6">
        <v>432997.91</v>
      </c>
      <c r="J71" s="6">
        <v>1.337216774E7</v>
      </c>
      <c r="K71" s="4">
        <f t="shared" si="32"/>
        <v>-12939169.83</v>
      </c>
      <c r="L71" s="4">
        <f>I71+Jan!L69</f>
        <v>685058.61</v>
      </c>
      <c r="M71" s="4">
        <f>J71+Jan!M69</f>
        <v>15500537.5</v>
      </c>
      <c r="N71" s="4">
        <f t="shared" si="33"/>
        <v>-14815478.89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48</v>
      </c>
      <c r="C72" s="3" t="s">
        <v>75</v>
      </c>
      <c r="D72" s="6">
        <v>9.2706056506E8</v>
      </c>
      <c r="E72" s="6">
        <v>8765139.1</v>
      </c>
      <c r="F72" s="6">
        <f t="shared" si="31"/>
        <v>918295426</v>
      </c>
      <c r="G72" s="6">
        <v>0.0</v>
      </c>
      <c r="H72" s="28">
        <v>1764.0</v>
      </c>
      <c r="I72" s="6">
        <v>3845387.24</v>
      </c>
      <c r="J72" s="6">
        <v>1.09953164E7</v>
      </c>
      <c r="K72" s="4">
        <f t="shared" si="32"/>
        <v>-7149929.16</v>
      </c>
      <c r="L72" s="4">
        <f>I72+Jan!L70</f>
        <v>9376609.08</v>
      </c>
      <c r="M72" s="4">
        <f>J72+Jan!M70</f>
        <v>24740498.93</v>
      </c>
      <c r="N72" s="4">
        <f t="shared" si="33"/>
        <v>-15363889.85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1"/>
      <c r="B73" s="2">
        <f t="shared" si="34"/>
        <v>49</v>
      </c>
      <c r="C73" s="3" t="s">
        <v>76</v>
      </c>
      <c r="D73" s="6">
        <v>1.72992748E8</v>
      </c>
      <c r="E73" s="6">
        <v>144302.0</v>
      </c>
      <c r="F73" s="6">
        <f t="shared" si="31"/>
        <v>172848446</v>
      </c>
      <c r="G73" s="6">
        <v>0.0</v>
      </c>
      <c r="H73" s="28">
        <v>127.0</v>
      </c>
      <c r="I73" s="6">
        <v>0.0</v>
      </c>
      <c r="J73" s="6">
        <v>118247.0</v>
      </c>
      <c r="K73" s="4">
        <f t="shared" si="32"/>
        <v>-118247</v>
      </c>
      <c r="L73" s="4">
        <f>I73+Jan!L71</f>
        <v>0</v>
      </c>
      <c r="M73" s="4">
        <f>J73+Jan!M71</f>
        <v>118247</v>
      </c>
      <c r="N73" s="4">
        <f t="shared" si="33"/>
        <v>-118247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50</v>
      </c>
      <c r="C74" s="3" t="s">
        <v>77</v>
      </c>
      <c r="D74" s="6">
        <v>7.22452764E8</v>
      </c>
      <c r="E74" s="6">
        <v>4433481.0</v>
      </c>
      <c r="F74" s="6">
        <f t="shared" si="31"/>
        <v>718019283</v>
      </c>
      <c r="G74" s="6">
        <v>0.0</v>
      </c>
      <c r="H74" s="28">
        <v>1642.0</v>
      </c>
      <c r="I74" s="6">
        <v>1944163.0</v>
      </c>
      <c r="J74" s="6">
        <v>1.0110035E7</v>
      </c>
      <c r="K74" s="4">
        <f t="shared" si="32"/>
        <v>-8165872</v>
      </c>
      <c r="L74" s="4">
        <f>I74+Jan!L72</f>
        <v>2555402</v>
      </c>
      <c r="M74" s="4">
        <f>J74+Jan!M72</f>
        <v>34812835</v>
      </c>
      <c r="N74" s="4">
        <f t="shared" si="33"/>
        <v>-32257433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51</v>
      </c>
      <c r="C75" s="3" t="s">
        <v>78</v>
      </c>
      <c r="D75" s="6">
        <v>1.338118211E9</v>
      </c>
      <c r="E75" s="6">
        <v>3.0619596E7</v>
      </c>
      <c r="F75" s="6">
        <f t="shared" si="31"/>
        <v>1307498615</v>
      </c>
      <c r="G75" s="6">
        <v>0.0</v>
      </c>
      <c r="H75" s="28">
        <v>4316.0</v>
      </c>
      <c r="I75" s="6">
        <v>868259.0</v>
      </c>
      <c r="J75" s="6">
        <v>1.4399431E7</v>
      </c>
      <c r="K75" s="4">
        <f t="shared" si="32"/>
        <v>-13531172</v>
      </c>
      <c r="L75" s="4">
        <f>I75+Jan!L73</f>
        <v>3372220</v>
      </c>
      <c r="M75" s="4">
        <f>J75+Jan!M73</f>
        <v>19993986</v>
      </c>
      <c r="N75" s="4">
        <f t="shared" si="33"/>
        <v>-16621766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52</v>
      </c>
      <c r="C76" s="3" t="s">
        <v>79</v>
      </c>
      <c r="D76" s="6">
        <v>4.94959606E8</v>
      </c>
      <c r="E76" s="6">
        <v>9910404.0</v>
      </c>
      <c r="F76" s="6">
        <f t="shared" si="31"/>
        <v>485049202</v>
      </c>
      <c r="G76" s="6">
        <v>0.0</v>
      </c>
      <c r="H76" s="28">
        <v>364.0</v>
      </c>
      <c r="I76" s="6">
        <v>0.0</v>
      </c>
      <c r="J76" s="6">
        <v>763232.0</v>
      </c>
      <c r="K76" s="4">
        <f t="shared" si="32"/>
        <v>-763232</v>
      </c>
      <c r="L76" s="4">
        <f>I76+Jan!L74</f>
        <v>0</v>
      </c>
      <c r="M76" s="4">
        <f>J76+Jan!M74</f>
        <v>2419823</v>
      </c>
      <c r="N76" s="4">
        <f t="shared" si="33"/>
        <v>-2419823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53</v>
      </c>
      <c r="C77" s="3" t="s">
        <v>80</v>
      </c>
      <c r="D77" s="6">
        <v>2.8782054742E8</v>
      </c>
      <c r="E77" s="6">
        <v>1894385.83</v>
      </c>
      <c r="F77" s="6">
        <f t="shared" si="31"/>
        <v>285926161.6</v>
      </c>
      <c r="G77" s="6">
        <v>0.0</v>
      </c>
      <c r="H77" s="28">
        <v>3990.0</v>
      </c>
      <c r="I77" s="6">
        <v>2494829.64</v>
      </c>
      <c r="J77" s="6">
        <v>600894.91</v>
      </c>
      <c r="K77" s="4">
        <f t="shared" si="32"/>
        <v>1893934.73</v>
      </c>
      <c r="L77" s="4">
        <f>I77+Jan!L75</f>
        <v>5457241.97</v>
      </c>
      <c r="M77" s="4">
        <f>J77+Jan!M75</f>
        <v>2040282.59</v>
      </c>
      <c r="N77" s="4">
        <f t="shared" si="33"/>
        <v>3416959.38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f t="shared" si="34"/>
        <v>54</v>
      </c>
      <c r="C78" s="3" t="s">
        <v>81</v>
      </c>
      <c r="D78" s="6">
        <v>2.04863029282E9</v>
      </c>
      <c r="E78" s="6">
        <v>3166979.48</v>
      </c>
      <c r="F78" s="6">
        <f t="shared" si="31"/>
        <v>2045463313</v>
      </c>
      <c r="G78" s="6">
        <v>0.0</v>
      </c>
      <c r="H78" s="28">
        <v>750.0</v>
      </c>
      <c r="I78" s="6">
        <v>5.003580415E7</v>
      </c>
      <c r="J78" s="6">
        <v>2128019.44</v>
      </c>
      <c r="K78" s="4">
        <f t="shared" si="32"/>
        <v>47907784.71</v>
      </c>
      <c r="L78" s="4">
        <f>I78+Jan!L76</f>
        <v>101089191.2</v>
      </c>
      <c r="M78" s="4">
        <f>J78+Jan!M76</f>
        <v>4271525.5</v>
      </c>
      <c r="N78" s="4">
        <f t="shared" si="33"/>
        <v>96817665.67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 t="shared" si="34"/>
        <v>55</v>
      </c>
      <c r="C79" s="3" t="s">
        <v>82</v>
      </c>
      <c r="D79" s="6">
        <v>6.395148282E9</v>
      </c>
      <c r="E79" s="6">
        <v>3.9614457E7</v>
      </c>
      <c r="F79" s="6">
        <f t="shared" si="31"/>
        <v>6355533825</v>
      </c>
      <c r="G79" s="6">
        <v>0.0</v>
      </c>
      <c r="H79" s="28">
        <v>19942.0</v>
      </c>
      <c r="I79" s="6">
        <v>5.2668166E7</v>
      </c>
      <c r="J79" s="6">
        <v>1.32079522E8</v>
      </c>
      <c r="K79" s="4">
        <f t="shared" si="32"/>
        <v>-79411356</v>
      </c>
      <c r="L79" s="4">
        <f>I79+Jan!L77</f>
        <v>101542692</v>
      </c>
      <c r="M79" s="4">
        <f>J79+Jan!M77</f>
        <v>249577511</v>
      </c>
      <c r="N79" s="4">
        <f t="shared" si="33"/>
        <v>-148034819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f t="shared" si="34"/>
        <v>56</v>
      </c>
      <c r="C80" s="3" t="s">
        <v>83</v>
      </c>
      <c r="D80" s="6">
        <v>1.44264131E8</v>
      </c>
      <c r="E80" s="6">
        <v>350635.0</v>
      </c>
      <c r="F80" s="6">
        <f t="shared" si="31"/>
        <v>143913496</v>
      </c>
      <c r="G80" s="6">
        <v>0.0</v>
      </c>
      <c r="H80" s="28">
        <v>2966.0</v>
      </c>
      <c r="I80" s="6">
        <v>268250.0</v>
      </c>
      <c r="J80" s="6">
        <v>1229469.0</v>
      </c>
      <c r="K80" s="4">
        <f t="shared" si="32"/>
        <v>-961219</v>
      </c>
      <c r="L80" s="4">
        <f>I80+Jan!L78</f>
        <v>749637</v>
      </c>
      <c r="M80" s="4">
        <f>J80+Jan!M78</f>
        <v>1967229</v>
      </c>
      <c r="N80" s="4">
        <f t="shared" si="33"/>
        <v>-1217592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0" t="s">
        <v>84</v>
      </c>
      <c r="B81" s="2"/>
      <c r="C81" s="3"/>
      <c r="D81" s="6"/>
      <c r="E81" s="6"/>
      <c r="F81" s="6"/>
      <c r="G81" s="6"/>
      <c r="H81" s="28"/>
      <c r="I81" s="6"/>
      <c r="J81" s="6"/>
      <c r="K81" s="4"/>
      <c r="L81" s="4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1+B80</f>
        <v>57</v>
      </c>
      <c r="C82" s="3" t="s">
        <v>122</v>
      </c>
      <c r="D82" s="6">
        <v>0.0</v>
      </c>
      <c r="E82" s="6">
        <v>0.0</v>
      </c>
      <c r="F82" s="6">
        <f>D82-E82</f>
        <v>0</v>
      </c>
      <c r="G82" s="6">
        <v>0.0</v>
      </c>
      <c r="H82" s="28">
        <v>0.0</v>
      </c>
      <c r="I82" s="6">
        <v>0.0</v>
      </c>
      <c r="J82" s="6">
        <v>0.0</v>
      </c>
      <c r="K82" s="4">
        <f>I82-J82</f>
        <v>0</v>
      </c>
      <c r="L82" s="4">
        <f>I82+Jan!L80</f>
        <v>0</v>
      </c>
      <c r="M82" s="4">
        <f>J82+Jan!M80</f>
        <v>0</v>
      </c>
      <c r="N82" s="4">
        <f>L82-M82</f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24" t="s">
        <v>46</v>
      </c>
      <c r="B83" s="1"/>
      <c r="C83" s="1"/>
      <c r="D83" s="26">
        <f t="shared" ref="D83:N83" si="35">SUM(D70:D82)</f>
        <v>47668703987</v>
      </c>
      <c r="E83" s="26">
        <f t="shared" si="35"/>
        <v>307514372.6</v>
      </c>
      <c r="F83" s="26">
        <f t="shared" si="35"/>
        <v>47361189614</v>
      </c>
      <c r="G83" s="26">
        <f t="shared" si="35"/>
        <v>360000000</v>
      </c>
      <c r="H83" s="26">
        <f t="shared" si="35"/>
        <v>61436</v>
      </c>
      <c r="I83" s="26">
        <f t="shared" si="35"/>
        <v>347216204.9</v>
      </c>
      <c r="J83" s="26">
        <f t="shared" si="35"/>
        <v>477514373.5</v>
      </c>
      <c r="K83" s="26">
        <f t="shared" si="35"/>
        <v>-130298168.6</v>
      </c>
      <c r="L83" s="26">
        <f t="shared" si="35"/>
        <v>656996149.8</v>
      </c>
      <c r="M83" s="26">
        <f t="shared" si="35"/>
        <v>915188219.5</v>
      </c>
      <c r="N83" s="26">
        <f t="shared" si="35"/>
        <v>-258192069.7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20" t="s">
        <v>47</v>
      </c>
      <c r="B84" s="2"/>
      <c r="C84" s="3"/>
      <c r="D84" s="6"/>
      <c r="E84" s="6"/>
      <c r="F84" s="6"/>
      <c r="G84" s="6"/>
      <c r="H84" s="28"/>
      <c r="I84" s="6"/>
      <c r="J84" s="6"/>
      <c r="K84" s="6"/>
      <c r="L84" s="6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f>B82+1</f>
        <v>58</v>
      </c>
      <c r="C85" s="3" t="s">
        <v>86</v>
      </c>
      <c r="D85" s="6">
        <v>1.1225574853E10</v>
      </c>
      <c r="E85" s="6">
        <v>5.9324195E7</v>
      </c>
      <c r="F85" s="6">
        <f t="shared" ref="F85:F91" si="36">D85-E85</f>
        <v>11166250658</v>
      </c>
      <c r="G85" s="6">
        <v>0.0</v>
      </c>
      <c r="H85" s="28">
        <v>6794.0</v>
      </c>
      <c r="I85" s="6">
        <v>7.643705E7</v>
      </c>
      <c r="J85" s="6">
        <v>1.31403651E8</v>
      </c>
      <c r="K85" s="4">
        <f t="shared" ref="K85:K91" si="37">I85-J85</f>
        <v>-54966601</v>
      </c>
      <c r="L85" s="4">
        <f>I85+Jan!L83</f>
        <v>122621770</v>
      </c>
      <c r="M85" s="4">
        <f>J85+Jan!M83</f>
        <v>222287519</v>
      </c>
      <c r="N85" s="4">
        <f t="shared" ref="N85:N91" si="38">L85-M85</f>
        <v>-99665749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ref="B86:B91" si="39">1+B85</f>
        <v>59</v>
      </c>
      <c r="C86" s="3" t="s">
        <v>87</v>
      </c>
      <c r="D86" s="6">
        <v>4.945574198E7</v>
      </c>
      <c r="E86" s="6">
        <v>2039367.7</v>
      </c>
      <c r="F86" s="6">
        <f t="shared" si="36"/>
        <v>47416374.28</v>
      </c>
      <c r="G86" s="6">
        <v>0.0</v>
      </c>
      <c r="H86" s="28">
        <v>21.0</v>
      </c>
      <c r="I86" s="6">
        <v>0.0</v>
      </c>
      <c r="J86" s="6">
        <v>0.0</v>
      </c>
      <c r="K86" s="4">
        <f t="shared" si="37"/>
        <v>0</v>
      </c>
      <c r="L86" s="4">
        <f>I86+Jan!L84</f>
        <v>0</v>
      </c>
      <c r="M86" s="4">
        <f>J86+Jan!M84</f>
        <v>0</v>
      </c>
      <c r="N86" s="4">
        <f t="shared" si="38"/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60</v>
      </c>
      <c r="C87" s="3" t="s">
        <v>88</v>
      </c>
      <c r="D87" s="6">
        <v>3.16695809E8</v>
      </c>
      <c r="E87" s="6">
        <v>4543680.0</v>
      </c>
      <c r="F87" s="6">
        <f t="shared" si="36"/>
        <v>312152129</v>
      </c>
      <c r="G87" s="6">
        <v>0.0</v>
      </c>
      <c r="H87" s="28">
        <v>133.0</v>
      </c>
      <c r="I87" s="6">
        <v>0.0</v>
      </c>
      <c r="J87" s="6">
        <v>5601621.0</v>
      </c>
      <c r="K87" s="4">
        <f t="shared" si="37"/>
        <v>-5601621</v>
      </c>
      <c r="L87" s="4">
        <f>I87+Jan!L85</f>
        <v>869907</v>
      </c>
      <c r="M87" s="4">
        <f>J87+Jan!M85</f>
        <v>8134607</v>
      </c>
      <c r="N87" s="4">
        <f t="shared" si="38"/>
        <v>-7264700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1.25" customHeight="1">
      <c r="A88" s="20"/>
      <c r="B88" s="2">
        <f t="shared" si="39"/>
        <v>61</v>
      </c>
      <c r="C88" s="3" t="s">
        <v>89</v>
      </c>
      <c r="D88" s="6">
        <v>6.7601557E7</v>
      </c>
      <c r="E88" s="6">
        <v>6125796.0</v>
      </c>
      <c r="F88" s="6">
        <f t="shared" si="36"/>
        <v>61475761</v>
      </c>
      <c r="G88" s="6">
        <v>0.0</v>
      </c>
      <c r="H88" s="28">
        <v>23.0</v>
      </c>
      <c r="I88" s="6">
        <v>0.0</v>
      </c>
      <c r="J88" s="6">
        <v>0.0</v>
      </c>
      <c r="K88" s="4">
        <f t="shared" si="37"/>
        <v>0</v>
      </c>
      <c r="L88" s="4">
        <f>I88+Jan!L86</f>
        <v>0</v>
      </c>
      <c r="M88" s="4">
        <f>J88+Jan!M86</f>
        <v>0</v>
      </c>
      <c r="N88" s="4">
        <f t="shared" si="38"/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3"/>
      <c r="B89" s="2">
        <f t="shared" si="39"/>
        <v>62</v>
      </c>
      <c r="C89" s="3" t="s">
        <v>90</v>
      </c>
      <c r="D89" s="6">
        <v>1.557089549E9</v>
      </c>
      <c r="E89" s="6">
        <v>1.1330441E7</v>
      </c>
      <c r="F89" s="6">
        <f t="shared" si="36"/>
        <v>1545759108</v>
      </c>
      <c r="G89" s="6">
        <v>0.0</v>
      </c>
      <c r="H89" s="28">
        <v>1436.0</v>
      </c>
      <c r="I89" s="6">
        <v>59943.0</v>
      </c>
      <c r="J89" s="6">
        <v>8677275.0</v>
      </c>
      <c r="K89" s="4">
        <f t="shared" si="37"/>
        <v>-8617332</v>
      </c>
      <c r="L89" s="4">
        <f>I89+Jan!L87</f>
        <v>77424</v>
      </c>
      <c r="M89" s="4">
        <f>J89+Jan!M87</f>
        <v>15941983</v>
      </c>
      <c r="N89" s="4">
        <f t="shared" si="38"/>
        <v>-15864559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43"/>
      <c r="B90" s="44">
        <f t="shared" si="39"/>
        <v>63</v>
      </c>
      <c r="C90" s="43" t="s">
        <v>91</v>
      </c>
      <c r="D90" s="6">
        <v>2.1756140394E8</v>
      </c>
      <c r="E90" s="6">
        <v>1396155.81</v>
      </c>
      <c r="F90" s="6">
        <f t="shared" si="36"/>
        <v>216165248.1</v>
      </c>
      <c r="G90" s="6">
        <v>0.0</v>
      </c>
      <c r="H90" s="28">
        <v>90.0</v>
      </c>
      <c r="I90" s="45">
        <v>167228.5</v>
      </c>
      <c r="J90" s="45">
        <v>157375.86</v>
      </c>
      <c r="K90" s="46">
        <f t="shared" si="37"/>
        <v>9852.64</v>
      </c>
      <c r="L90" s="4">
        <f>I90+Jan!L88</f>
        <v>337922.5</v>
      </c>
      <c r="M90" s="4">
        <f>J90+Jan!M88</f>
        <v>366769.13</v>
      </c>
      <c r="N90" s="4">
        <f t="shared" si="38"/>
        <v>-28846.63</v>
      </c>
      <c r="O90" s="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</row>
    <row r="91" ht="12.0" customHeight="1">
      <c r="A91" s="3"/>
      <c r="B91" s="2">
        <f t="shared" si="39"/>
        <v>64</v>
      </c>
      <c r="C91" s="3" t="s">
        <v>92</v>
      </c>
      <c r="D91" s="6">
        <v>4.08540355E8</v>
      </c>
      <c r="E91" s="6">
        <v>9131883.0</v>
      </c>
      <c r="F91" s="6">
        <f t="shared" si="36"/>
        <v>399408472</v>
      </c>
      <c r="G91" s="6">
        <v>0.0</v>
      </c>
      <c r="H91" s="28">
        <v>2664.0</v>
      </c>
      <c r="I91" s="6">
        <v>0.0</v>
      </c>
      <c r="J91" s="6">
        <v>1.2257376E7</v>
      </c>
      <c r="K91" s="4">
        <f t="shared" si="37"/>
        <v>-12257376</v>
      </c>
      <c r="L91" s="4">
        <f>I91+Jan!L89</f>
        <v>2435705</v>
      </c>
      <c r="M91" s="4">
        <f>J91+Jan!M89</f>
        <v>53837709</v>
      </c>
      <c r="N91" s="4">
        <f t="shared" si="38"/>
        <v>-51402004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24" t="s">
        <v>93</v>
      </c>
      <c r="B92" s="25"/>
      <c r="C92" s="33"/>
      <c r="D92" s="26">
        <f t="shared" ref="D92:N92" si="40">SUM(D85:D91)</f>
        <v>13842519269</v>
      </c>
      <c r="E92" s="26">
        <f t="shared" si="40"/>
        <v>93891518.51</v>
      </c>
      <c r="F92" s="26">
        <f t="shared" si="40"/>
        <v>13748627750</v>
      </c>
      <c r="G92" s="26">
        <f t="shared" si="40"/>
        <v>0</v>
      </c>
      <c r="H92" s="26">
        <f t="shared" si="40"/>
        <v>11161</v>
      </c>
      <c r="I92" s="26">
        <f t="shared" si="40"/>
        <v>76664221.5</v>
      </c>
      <c r="J92" s="26">
        <f t="shared" si="40"/>
        <v>158097298.9</v>
      </c>
      <c r="K92" s="26">
        <f t="shared" si="40"/>
        <v>-81433077.36</v>
      </c>
      <c r="L92" s="26">
        <f t="shared" si="40"/>
        <v>126342728.5</v>
      </c>
      <c r="M92" s="26">
        <f t="shared" si="40"/>
        <v>300568587.1</v>
      </c>
      <c r="N92" s="26">
        <f t="shared" si="40"/>
        <v>-174225858.6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3"/>
      <c r="B93" s="2">
        <f>1+B91</f>
        <v>65</v>
      </c>
      <c r="C93" s="3" t="s">
        <v>94</v>
      </c>
      <c r="D93" s="6">
        <v>6.98960258E8</v>
      </c>
      <c r="E93" s="6">
        <v>5293500.0</v>
      </c>
      <c r="F93" s="6">
        <f>D93-E93</f>
        <v>693666758</v>
      </c>
      <c r="G93" s="6">
        <v>0.0</v>
      </c>
      <c r="H93" s="28">
        <v>562.0</v>
      </c>
      <c r="I93" s="6">
        <v>2991675.0</v>
      </c>
      <c r="J93" s="6">
        <v>1.9506865E7</v>
      </c>
      <c r="K93" s="4">
        <f>I93-J93</f>
        <v>-16515190</v>
      </c>
      <c r="L93" s="4">
        <f>I93+Jan!L91</f>
        <v>5994456</v>
      </c>
      <c r="M93" s="4">
        <f>J93+Jan!M91</f>
        <v>58571920</v>
      </c>
      <c r="N93" s="4">
        <f>L93-M93</f>
        <v>-52577464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4" t="s">
        <v>95</v>
      </c>
      <c r="B94" s="33"/>
      <c r="C94" s="1"/>
      <c r="D94" s="26">
        <f t="shared" ref="D94:N94" si="41">SUM(D93)</f>
        <v>698960258</v>
      </c>
      <c r="E94" s="26">
        <f t="shared" si="41"/>
        <v>5293500</v>
      </c>
      <c r="F94" s="26">
        <f t="shared" si="41"/>
        <v>693666758</v>
      </c>
      <c r="G94" s="26">
        <f t="shared" si="41"/>
        <v>0</v>
      </c>
      <c r="H94" s="29">
        <f t="shared" si="41"/>
        <v>562</v>
      </c>
      <c r="I94" s="26">
        <f t="shared" si="41"/>
        <v>2991675</v>
      </c>
      <c r="J94" s="26">
        <f t="shared" si="41"/>
        <v>19506865</v>
      </c>
      <c r="K94" s="26">
        <f t="shared" si="41"/>
        <v>-16515190</v>
      </c>
      <c r="L94" s="26">
        <f t="shared" si="41"/>
        <v>5994456</v>
      </c>
      <c r="M94" s="26">
        <f t="shared" si="41"/>
        <v>58571920</v>
      </c>
      <c r="N94" s="26">
        <f t="shared" si="41"/>
        <v>-52577464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" t="s">
        <v>96</v>
      </c>
      <c r="B95" s="25"/>
      <c r="C95" s="33"/>
      <c r="D95" s="26">
        <f t="shared" ref="D95:N95" si="42">D83+D92+D94</f>
        <v>62210183514</v>
      </c>
      <c r="E95" s="26">
        <f t="shared" si="42"/>
        <v>406699391.1</v>
      </c>
      <c r="F95" s="26">
        <f t="shared" si="42"/>
        <v>61803484123</v>
      </c>
      <c r="G95" s="26">
        <f t="shared" si="42"/>
        <v>360000000</v>
      </c>
      <c r="H95" s="27">
        <f t="shared" si="42"/>
        <v>73159</v>
      </c>
      <c r="I95" s="26">
        <f t="shared" si="42"/>
        <v>426872101.4</v>
      </c>
      <c r="J95" s="26">
        <f t="shared" si="42"/>
        <v>655118537.4</v>
      </c>
      <c r="K95" s="26">
        <f t="shared" si="42"/>
        <v>-228246435.9</v>
      </c>
      <c r="L95" s="26">
        <f t="shared" si="42"/>
        <v>789333334.3</v>
      </c>
      <c r="M95" s="26">
        <f t="shared" si="42"/>
        <v>1274328727</v>
      </c>
      <c r="N95" s="26">
        <f t="shared" si="42"/>
        <v>-484995392.3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 t="s">
        <v>97</v>
      </c>
      <c r="B96" s="2"/>
      <c r="C96" s="34"/>
      <c r="D96" s="6"/>
      <c r="E96" s="6"/>
      <c r="F96" s="6"/>
      <c r="G96" s="6"/>
      <c r="H96" s="28"/>
      <c r="I96" s="6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0" t="s">
        <v>20</v>
      </c>
      <c r="B97" s="2"/>
      <c r="C97" s="34"/>
      <c r="D97" s="6"/>
      <c r="E97" s="6"/>
      <c r="F97" s="6"/>
      <c r="G97" s="6"/>
      <c r="H97" s="32"/>
      <c r="I97" s="6"/>
      <c r="J97" s="4"/>
      <c r="K97" s="4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20"/>
      <c r="B98" s="2">
        <f>B93+1</f>
        <v>66</v>
      </c>
      <c r="C98" s="34" t="s">
        <v>98</v>
      </c>
      <c r="D98" s="6">
        <v>1.7629825093E8</v>
      </c>
      <c r="E98" s="6">
        <v>316723.31</v>
      </c>
      <c r="F98" s="6">
        <f t="shared" ref="F98:F101" si="43">D98-E98</f>
        <v>175981527.6</v>
      </c>
      <c r="G98" s="6">
        <v>0.0</v>
      </c>
      <c r="H98" s="28">
        <v>62.0</v>
      </c>
      <c r="I98" s="6">
        <v>43000.0</v>
      </c>
      <c r="J98" s="6">
        <v>0.0</v>
      </c>
      <c r="K98" s="4">
        <f t="shared" ref="K98:K101" si="44">I98-J98</f>
        <v>43000</v>
      </c>
      <c r="L98" s="4">
        <f>I98+Jan!L96</f>
        <v>116000</v>
      </c>
      <c r="M98" s="4">
        <f>J98+Jan!M96</f>
        <v>18188.87</v>
      </c>
      <c r="N98" s="4">
        <f t="shared" ref="N98:N101" si="45">L98-M98</f>
        <v>97811.13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0"/>
      <c r="B99" s="2">
        <f t="shared" ref="B99:B101" si="46">B98+1</f>
        <v>67</v>
      </c>
      <c r="C99" s="3" t="s">
        <v>99</v>
      </c>
      <c r="D99" s="6">
        <v>1.9312678227E10</v>
      </c>
      <c r="E99" s="6">
        <v>2.19054343E8</v>
      </c>
      <c r="F99" s="6">
        <f t="shared" si="43"/>
        <v>19093623884</v>
      </c>
      <c r="G99" s="6">
        <v>0.0</v>
      </c>
      <c r="H99" s="28">
        <v>20058.0</v>
      </c>
      <c r="I99" s="6">
        <v>371060.0</v>
      </c>
      <c r="J99" s="6">
        <v>2.67516873E8</v>
      </c>
      <c r="K99" s="4">
        <f t="shared" si="44"/>
        <v>-267145813</v>
      </c>
      <c r="L99" s="4">
        <f>I99+Jan!L97</f>
        <v>740456</v>
      </c>
      <c r="M99" s="4">
        <f>J99+Jan!M97</f>
        <v>497843967</v>
      </c>
      <c r="N99" s="4">
        <f t="shared" si="45"/>
        <v>-497103511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0"/>
      <c r="B100" s="2">
        <f t="shared" si="46"/>
        <v>68</v>
      </c>
      <c r="C100" s="3" t="s">
        <v>100</v>
      </c>
      <c r="D100" s="6">
        <v>2.443417149E9</v>
      </c>
      <c r="E100" s="6">
        <v>6723684.0</v>
      </c>
      <c r="F100" s="6">
        <f t="shared" si="43"/>
        <v>2436693465</v>
      </c>
      <c r="G100" s="6">
        <v>0.0</v>
      </c>
      <c r="H100" s="28">
        <v>1242.0</v>
      </c>
      <c r="I100" s="6">
        <v>1.24746107E8</v>
      </c>
      <c r="J100" s="6">
        <v>9.6409998E7</v>
      </c>
      <c r="K100" s="4">
        <f t="shared" si="44"/>
        <v>28336109</v>
      </c>
      <c r="L100" s="4">
        <f>I100+Jan!L98</f>
        <v>177879996</v>
      </c>
      <c r="M100" s="4">
        <f>J100+Jan!M98</f>
        <v>197562982</v>
      </c>
      <c r="N100" s="4">
        <f t="shared" si="45"/>
        <v>-19682986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/>
      <c r="B101" s="2">
        <f t="shared" si="46"/>
        <v>69</v>
      </c>
      <c r="C101" s="3" t="s">
        <v>101</v>
      </c>
      <c r="D101" s="6">
        <v>1.0634219127E10</v>
      </c>
      <c r="E101" s="6">
        <v>5.76485587E8</v>
      </c>
      <c r="F101" s="6">
        <f t="shared" si="43"/>
        <v>10057733540</v>
      </c>
      <c r="G101" s="6">
        <v>0.0</v>
      </c>
      <c r="H101" s="28">
        <v>74837.0</v>
      </c>
      <c r="I101" s="6">
        <v>2.93883296E8</v>
      </c>
      <c r="J101" s="6">
        <v>3.94460518E8</v>
      </c>
      <c r="K101" s="4">
        <f t="shared" si="44"/>
        <v>-100577222</v>
      </c>
      <c r="L101" s="4">
        <f>I101+Jan!L99</f>
        <v>557939369</v>
      </c>
      <c r="M101" s="4">
        <f>J101+Jan!M99</f>
        <v>1264249326</v>
      </c>
      <c r="N101" s="4">
        <f t="shared" si="45"/>
        <v>-706309957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0" t="s">
        <v>40</v>
      </c>
      <c r="B102" s="2"/>
      <c r="C102" s="3"/>
      <c r="D102" s="6"/>
      <c r="E102" s="6"/>
      <c r="F102" s="6"/>
      <c r="G102" s="6"/>
      <c r="H102" s="28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1+B101</f>
        <v>70</v>
      </c>
      <c r="C103" s="3" t="s">
        <v>99</v>
      </c>
      <c r="D103" s="6">
        <v>1.5019262002E10</v>
      </c>
      <c r="E103" s="6">
        <v>1.56937158E8</v>
      </c>
      <c r="F103" s="6">
        <f>D103-E103</f>
        <v>14862324844</v>
      </c>
      <c r="G103" s="6">
        <v>0.0</v>
      </c>
      <c r="H103" s="28">
        <v>33026.0</v>
      </c>
      <c r="I103" s="6">
        <v>1.723079406E9</v>
      </c>
      <c r="J103" s="6">
        <v>8.9817477E8</v>
      </c>
      <c r="K103" s="4">
        <f>I103-J103</f>
        <v>824904636</v>
      </c>
      <c r="L103" s="4">
        <f>I103+Jan!L101</f>
        <v>3007904281</v>
      </c>
      <c r="M103" s="4">
        <f>J103+Jan!M101</f>
        <v>1976566041</v>
      </c>
      <c r="N103" s="4">
        <f>L103-M103</f>
        <v>1031338240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4" t="s">
        <v>46</v>
      </c>
      <c r="B104" s="2"/>
      <c r="C104" s="3"/>
      <c r="D104" s="26">
        <f t="shared" ref="D104:N104" si="47">SUM(D98:D101)+D103</f>
        <v>47585874756</v>
      </c>
      <c r="E104" s="26">
        <f t="shared" si="47"/>
        <v>959517495.3</v>
      </c>
      <c r="F104" s="26">
        <f t="shared" si="47"/>
        <v>46626357261</v>
      </c>
      <c r="G104" s="26">
        <f t="shared" si="47"/>
        <v>0</v>
      </c>
      <c r="H104" s="29">
        <f t="shared" si="47"/>
        <v>129225</v>
      </c>
      <c r="I104" s="26">
        <f t="shared" si="47"/>
        <v>2142122869</v>
      </c>
      <c r="J104" s="26">
        <f t="shared" si="47"/>
        <v>1656562159</v>
      </c>
      <c r="K104" s="26">
        <f t="shared" si="47"/>
        <v>485560710</v>
      </c>
      <c r="L104" s="26">
        <f t="shared" si="47"/>
        <v>3744580102</v>
      </c>
      <c r="M104" s="26">
        <f t="shared" si="47"/>
        <v>3936240505</v>
      </c>
      <c r="N104" s="26">
        <f t="shared" si="47"/>
        <v>-191660402.9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20" t="s">
        <v>47</v>
      </c>
      <c r="B105" s="2"/>
      <c r="C105" s="3"/>
      <c r="D105" s="6"/>
      <c r="E105" s="6"/>
      <c r="F105" s="6"/>
      <c r="G105" s="6"/>
      <c r="H105" s="32"/>
      <c r="I105" s="6"/>
      <c r="J105" s="4"/>
      <c r="K105" s="4"/>
      <c r="L105" s="4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/>
      <c r="B106" s="2">
        <f>1+B103</f>
        <v>71</v>
      </c>
      <c r="C106" s="3" t="s">
        <v>102</v>
      </c>
      <c r="D106" s="6">
        <v>1.187073414E9</v>
      </c>
      <c r="E106" s="6">
        <v>5047358.0</v>
      </c>
      <c r="F106" s="6">
        <f>D106-E106</f>
        <v>1182026056</v>
      </c>
      <c r="G106" s="6">
        <v>0.0</v>
      </c>
      <c r="H106" s="28">
        <v>3980.0</v>
      </c>
      <c r="I106" s="6">
        <v>7640738.0</v>
      </c>
      <c r="J106" s="6">
        <v>7.1538392E7</v>
      </c>
      <c r="K106" s="4">
        <f>I106-J106</f>
        <v>-63897654</v>
      </c>
      <c r="L106" s="4">
        <f>I106+Jan!L104</f>
        <v>61270938</v>
      </c>
      <c r="M106" s="4">
        <f>J106+Jan!M104</f>
        <v>256227876</v>
      </c>
      <c r="N106" s="4">
        <f>L106-M106</f>
        <v>-194956938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4" t="s">
        <v>93</v>
      </c>
      <c r="B107" s="2"/>
      <c r="C107" s="3"/>
      <c r="D107" s="26">
        <f t="shared" ref="D107:N107" si="48">SUM(D106)</f>
        <v>1187073414</v>
      </c>
      <c r="E107" s="26">
        <f t="shared" si="48"/>
        <v>5047358</v>
      </c>
      <c r="F107" s="26">
        <f t="shared" si="48"/>
        <v>1182026056</v>
      </c>
      <c r="G107" s="26">
        <f t="shared" si="48"/>
        <v>0</v>
      </c>
      <c r="H107" s="29">
        <f t="shared" si="48"/>
        <v>3980</v>
      </c>
      <c r="I107" s="26">
        <f t="shared" si="48"/>
        <v>7640738</v>
      </c>
      <c r="J107" s="26">
        <f t="shared" si="48"/>
        <v>71538392</v>
      </c>
      <c r="K107" s="26">
        <f t="shared" si="48"/>
        <v>-63897654</v>
      </c>
      <c r="L107" s="26">
        <f t="shared" si="48"/>
        <v>61270938</v>
      </c>
      <c r="M107" s="26">
        <f t="shared" si="48"/>
        <v>256227876</v>
      </c>
      <c r="N107" s="26">
        <f t="shared" si="48"/>
        <v>-194956938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 t="s">
        <v>103</v>
      </c>
      <c r="B108" s="2"/>
      <c r="C108" s="3"/>
      <c r="D108" s="26">
        <f t="shared" ref="D108:N108" si="49">D104+D107</f>
        <v>48772948170</v>
      </c>
      <c r="E108" s="26">
        <f t="shared" si="49"/>
        <v>964564853.3</v>
      </c>
      <c r="F108" s="26">
        <f t="shared" si="49"/>
        <v>47808383317</v>
      </c>
      <c r="G108" s="26">
        <f t="shared" si="49"/>
        <v>0</v>
      </c>
      <c r="H108" s="29">
        <f t="shared" si="49"/>
        <v>133205</v>
      </c>
      <c r="I108" s="26">
        <f t="shared" si="49"/>
        <v>2149763607</v>
      </c>
      <c r="J108" s="26">
        <f t="shared" si="49"/>
        <v>1728100551</v>
      </c>
      <c r="K108" s="26">
        <f t="shared" si="49"/>
        <v>421663056</v>
      </c>
      <c r="L108" s="26">
        <f t="shared" si="49"/>
        <v>3805851040</v>
      </c>
      <c r="M108" s="26">
        <f t="shared" si="49"/>
        <v>4192468381</v>
      </c>
      <c r="N108" s="26">
        <f t="shared" si="49"/>
        <v>-386617340.9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 t="s">
        <v>104</v>
      </c>
      <c r="B109" s="2"/>
      <c r="C109" s="3"/>
      <c r="D109" s="30"/>
      <c r="E109" s="30"/>
      <c r="F109" s="30"/>
      <c r="G109" s="30"/>
      <c r="H109" s="31"/>
      <c r="I109" s="30"/>
      <c r="J109" s="30"/>
      <c r="K109" s="30"/>
      <c r="L109" s="30"/>
      <c r="M109" s="30"/>
      <c r="N109" s="3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0" t="s">
        <v>105</v>
      </c>
      <c r="B110" s="2"/>
      <c r="C110" s="3"/>
      <c r="D110" s="6"/>
      <c r="E110" s="6"/>
      <c r="F110" s="6"/>
      <c r="G110" s="6"/>
      <c r="H110" s="32"/>
      <c r="I110" s="6"/>
      <c r="J110" s="6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0"/>
      <c r="B111" s="2">
        <f>1+B106</f>
        <v>72</v>
      </c>
      <c r="C111" s="3" t="s">
        <v>106</v>
      </c>
      <c r="D111" s="6">
        <v>1.0517553925E10</v>
      </c>
      <c r="E111" s="6">
        <v>1.29498983E8</v>
      </c>
      <c r="F111" s="6">
        <f t="shared" ref="F111:F113" si="50">D111-E111</f>
        <v>10388054942</v>
      </c>
      <c r="G111" s="6">
        <v>0.0</v>
      </c>
      <c r="H111" s="28">
        <v>607571.0</v>
      </c>
      <c r="I111" s="6">
        <v>6.96865459E8</v>
      </c>
      <c r="J111" s="6">
        <v>8.028386E7</v>
      </c>
      <c r="K111" s="4">
        <f t="shared" ref="K111:K113" si="51">I111-J111</f>
        <v>616581599</v>
      </c>
      <c r="L111" s="4">
        <f>I111+Jan!L109</f>
        <v>916620841</v>
      </c>
      <c r="M111" s="4">
        <f>J111+Jan!M109</f>
        <v>201527939</v>
      </c>
      <c r="N111" s="4">
        <f t="shared" ref="N111:N113" si="52">L111-M111</f>
        <v>715092902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 t="shared" ref="B112:B113" si="53">1+B111</f>
        <v>73</v>
      </c>
      <c r="C112" s="3" t="s">
        <v>107</v>
      </c>
      <c r="D112" s="6">
        <v>8.17625387E9</v>
      </c>
      <c r="E112" s="6">
        <v>1.13514774E8</v>
      </c>
      <c r="F112" s="6">
        <f t="shared" si="50"/>
        <v>8062739096</v>
      </c>
      <c r="G112" s="6">
        <v>0.0</v>
      </c>
      <c r="H112" s="28">
        <v>13010.0</v>
      </c>
      <c r="I112" s="6">
        <v>6.70400852E8</v>
      </c>
      <c r="J112" s="6">
        <v>1.38504529E8</v>
      </c>
      <c r="K112" s="4">
        <f t="shared" si="51"/>
        <v>531896323</v>
      </c>
      <c r="L112" s="4">
        <f>I112+Jan!L110</f>
        <v>1305890816</v>
      </c>
      <c r="M112" s="4">
        <f>J112+Jan!M110</f>
        <v>390433395</v>
      </c>
      <c r="N112" s="4">
        <f t="shared" si="52"/>
        <v>915457421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 t="shared" si="53"/>
        <v>74</v>
      </c>
      <c r="C113" s="3" t="s">
        <v>108</v>
      </c>
      <c r="D113" s="6">
        <v>3.734778025E9</v>
      </c>
      <c r="E113" s="6">
        <v>6.055835E7</v>
      </c>
      <c r="F113" s="6">
        <f t="shared" si="50"/>
        <v>3674219675</v>
      </c>
      <c r="G113" s="6">
        <v>0.0</v>
      </c>
      <c r="H113" s="28">
        <v>5486.0</v>
      </c>
      <c r="I113" s="6">
        <v>6.5506747E7</v>
      </c>
      <c r="J113" s="6">
        <v>1.0669041E8</v>
      </c>
      <c r="K113" s="4">
        <f t="shared" si="51"/>
        <v>-41183663</v>
      </c>
      <c r="L113" s="4">
        <f>I113+Jan!L111</f>
        <v>212157986</v>
      </c>
      <c r="M113" s="4">
        <f>J113+Jan!M111</f>
        <v>191295965</v>
      </c>
      <c r="N113" s="4">
        <f t="shared" si="52"/>
        <v>20862021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4" t="s">
        <v>46</v>
      </c>
      <c r="B114" s="2"/>
      <c r="C114" s="3"/>
      <c r="D114" s="26">
        <f t="shared" ref="D114:N114" si="54">D111+D112+D113</f>
        <v>22428585820</v>
      </c>
      <c r="E114" s="26">
        <f t="shared" si="54"/>
        <v>303572107</v>
      </c>
      <c r="F114" s="26">
        <f t="shared" si="54"/>
        <v>22125013713</v>
      </c>
      <c r="G114" s="26">
        <f t="shared" si="54"/>
        <v>0</v>
      </c>
      <c r="H114" s="27">
        <f t="shared" si="54"/>
        <v>626067</v>
      </c>
      <c r="I114" s="26">
        <f t="shared" si="54"/>
        <v>1432773058</v>
      </c>
      <c r="J114" s="26">
        <f t="shared" si="54"/>
        <v>325478799</v>
      </c>
      <c r="K114" s="26">
        <f t="shared" si="54"/>
        <v>1107294259</v>
      </c>
      <c r="L114" s="26">
        <f t="shared" si="54"/>
        <v>2434669643</v>
      </c>
      <c r="M114" s="26">
        <f t="shared" si="54"/>
        <v>783257299</v>
      </c>
      <c r="N114" s="26">
        <f t="shared" si="54"/>
        <v>1651412344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20" t="s">
        <v>109</v>
      </c>
      <c r="B115" s="2"/>
      <c r="C115" s="3"/>
      <c r="D115" s="6"/>
      <c r="E115" s="6"/>
      <c r="F115" s="6"/>
      <c r="G115" s="6"/>
      <c r="H115" s="32"/>
      <c r="I115" s="6"/>
      <c r="J115" s="6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1"/>
      <c r="B116" s="2">
        <f>1+B113</f>
        <v>75</v>
      </c>
      <c r="C116" s="3" t="s">
        <v>106</v>
      </c>
      <c r="D116" s="6">
        <v>8.678984542E9</v>
      </c>
      <c r="E116" s="6">
        <v>5.9777863E7</v>
      </c>
      <c r="F116" s="6">
        <f>D116-E116</f>
        <v>8619206679</v>
      </c>
      <c r="G116" s="6">
        <v>0.0</v>
      </c>
      <c r="H116" s="28">
        <v>6853.0</v>
      </c>
      <c r="I116" s="6">
        <v>5.1154139E7</v>
      </c>
      <c r="J116" s="6">
        <v>7.1854624E7</v>
      </c>
      <c r="K116" s="4">
        <f>I116-J116</f>
        <v>-20700485</v>
      </c>
      <c r="L116" s="4">
        <f>I116+Jan!L114</f>
        <v>98976313</v>
      </c>
      <c r="M116" s="4">
        <f>J116+Jan!M114</f>
        <v>215023205</v>
      </c>
      <c r="N116" s="4">
        <f>L116-M116</f>
        <v>-116046892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24" t="s">
        <v>93</v>
      </c>
      <c r="B117" s="25"/>
      <c r="C117" s="1"/>
      <c r="D117" s="26">
        <f t="shared" ref="D117:N117" si="55">SUM(D116)</f>
        <v>8678984542</v>
      </c>
      <c r="E117" s="26">
        <f t="shared" si="55"/>
        <v>59777863</v>
      </c>
      <c r="F117" s="26">
        <f t="shared" si="55"/>
        <v>8619206679</v>
      </c>
      <c r="G117" s="26">
        <f t="shared" si="55"/>
        <v>0</v>
      </c>
      <c r="H117" s="29">
        <f t="shared" si="55"/>
        <v>6853</v>
      </c>
      <c r="I117" s="26">
        <f t="shared" si="55"/>
        <v>51154139</v>
      </c>
      <c r="J117" s="26">
        <f t="shared" si="55"/>
        <v>71854624</v>
      </c>
      <c r="K117" s="26">
        <f t="shared" si="55"/>
        <v>-20700485</v>
      </c>
      <c r="L117" s="26">
        <f t="shared" si="55"/>
        <v>98976313</v>
      </c>
      <c r="M117" s="26">
        <f t="shared" si="55"/>
        <v>215023205</v>
      </c>
      <c r="N117" s="26">
        <f t="shared" si="55"/>
        <v>-116046892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1" t="s">
        <v>110</v>
      </c>
      <c r="B118" s="35"/>
      <c r="C118" s="33"/>
      <c r="D118" s="26">
        <f t="shared" ref="D118:N118" si="56">SUM(D114+D117)</f>
        <v>31107570362</v>
      </c>
      <c r="E118" s="26">
        <f t="shared" si="56"/>
        <v>363349970</v>
      </c>
      <c r="F118" s="26">
        <f t="shared" si="56"/>
        <v>30744220392</v>
      </c>
      <c r="G118" s="26">
        <f t="shared" si="56"/>
        <v>0</v>
      </c>
      <c r="H118" s="29">
        <f t="shared" si="56"/>
        <v>632920</v>
      </c>
      <c r="I118" s="26">
        <f t="shared" si="56"/>
        <v>1483927197</v>
      </c>
      <c r="J118" s="26">
        <f t="shared" si="56"/>
        <v>397333423</v>
      </c>
      <c r="K118" s="26">
        <f t="shared" si="56"/>
        <v>1086593774</v>
      </c>
      <c r="L118" s="26">
        <f t="shared" si="56"/>
        <v>2533645956</v>
      </c>
      <c r="M118" s="26">
        <f t="shared" si="56"/>
        <v>998280504</v>
      </c>
      <c r="N118" s="26">
        <f t="shared" si="56"/>
        <v>1535365452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 t="s">
        <v>111</v>
      </c>
      <c r="B119" s="37"/>
      <c r="C119" s="38"/>
      <c r="D119" s="39">
        <f t="shared" ref="D119:N119" si="57">D42+D67+D95+D108+D118</f>
        <v>210455912676</v>
      </c>
      <c r="E119" s="39">
        <f t="shared" si="57"/>
        <v>2740501682</v>
      </c>
      <c r="F119" s="39">
        <f t="shared" si="57"/>
        <v>207715410994</v>
      </c>
      <c r="G119" s="39">
        <f t="shared" si="57"/>
        <v>55741920259</v>
      </c>
      <c r="H119" s="40">
        <f t="shared" si="57"/>
        <v>2037523</v>
      </c>
      <c r="I119" s="39">
        <f t="shared" si="57"/>
        <v>4321691504</v>
      </c>
      <c r="J119" s="39">
        <f t="shared" si="57"/>
        <v>4060466668</v>
      </c>
      <c r="K119" s="39">
        <f t="shared" si="57"/>
        <v>261224835.7</v>
      </c>
      <c r="L119" s="39">
        <f t="shared" si="57"/>
        <v>7686719511</v>
      </c>
      <c r="M119" s="39">
        <f t="shared" si="57"/>
        <v>9253524005</v>
      </c>
      <c r="N119" s="39">
        <f t="shared" si="57"/>
        <v>-1566804493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2.0" customHeight="1">
      <c r="A120" s="41"/>
      <c r="B120" s="41"/>
      <c r="C120" s="41"/>
      <c r="D120" s="4"/>
      <c r="E120" s="4"/>
      <c r="F120" s="4"/>
      <c r="G120" s="4"/>
      <c r="H120" s="5"/>
      <c r="I120" s="6"/>
      <c r="J120" s="4"/>
      <c r="K120" s="4"/>
      <c r="L120" s="4">
        <f>I119+Jan!I117-L119</f>
        <v>0</v>
      </c>
      <c r="M120" s="4">
        <f>J119+Jan!J117-M119</f>
        <v>0</v>
      </c>
      <c r="N120" s="4">
        <f>K119+Jan!K117-N119</f>
        <v>-0.0000004768371582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2" t="s">
        <v>112</v>
      </c>
      <c r="B121" s="34"/>
      <c r="C121" s="3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2" t="s">
        <v>113</v>
      </c>
      <c r="B122" s="34"/>
      <c r="C122" s="3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9.75" customHeight="1">
      <c r="A123" s="42" t="s">
        <v>114</v>
      </c>
      <c r="B123" s="34"/>
      <c r="C123" s="3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9.75" customHeight="1">
      <c r="A124" s="42" t="s">
        <v>119</v>
      </c>
      <c r="B124" s="41"/>
      <c r="C124" s="41"/>
      <c r="D124" s="4"/>
      <c r="E124" s="4"/>
      <c r="F124" s="4"/>
      <c r="G124" s="4"/>
      <c r="H124" s="5"/>
      <c r="I124" s="6"/>
      <c r="J124" s="4"/>
      <c r="K124" s="4">
        <f>H124-J124</f>
        <v>0</v>
      </c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1"/>
      <c r="B125" s="41"/>
      <c r="C125" s="41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1"/>
      <c r="B126" s="41"/>
      <c r="C126" s="41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1"/>
      <c r="B127" s="41"/>
      <c r="C127" s="41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1"/>
      <c r="B128" s="41"/>
      <c r="C128" s="41"/>
      <c r="D128" s="3"/>
      <c r="E128" s="3"/>
      <c r="F128" s="3"/>
      <c r="G128" s="3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1"/>
      <c r="B129" s="41"/>
      <c r="C129" s="41"/>
      <c r="D129" s="3"/>
      <c r="E129" s="3"/>
      <c r="F129" s="3"/>
      <c r="G129" s="3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1"/>
      <c r="B130" s="41"/>
      <c r="C130" s="41"/>
      <c r="D130" s="3"/>
      <c r="E130" s="3"/>
      <c r="F130" s="3"/>
      <c r="G130" s="3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1"/>
      <c r="B131" s="41"/>
      <c r="C131" s="41"/>
      <c r="D131" s="3"/>
      <c r="E131" s="3"/>
      <c r="F131" s="3"/>
      <c r="G131" s="3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1"/>
      <c r="B132" s="41"/>
      <c r="C132" s="41"/>
      <c r="D132" s="3"/>
      <c r="E132" s="3"/>
      <c r="F132" s="3"/>
      <c r="G132" s="3"/>
      <c r="H132" s="5"/>
      <c r="I132" s="6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1"/>
      <c r="B133" s="41"/>
      <c r="C133" s="41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1"/>
      <c r="B134" s="41"/>
      <c r="C134" s="41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1"/>
      <c r="B135" s="41"/>
      <c r="C135" s="41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1"/>
      <c r="B136" s="41"/>
      <c r="C136" s="41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1"/>
      <c r="B137" s="41"/>
      <c r="C137" s="41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1"/>
      <c r="B138" s="41"/>
      <c r="C138" s="41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1"/>
      <c r="B139" s="41"/>
      <c r="C139" s="41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1"/>
      <c r="B140" s="41"/>
      <c r="C140" s="41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1"/>
      <c r="B141" s="41"/>
      <c r="C141" s="41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1"/>
      <c r="B142" s="41"/>
      <c r="C142" s="41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1"/>
      <c r="B143" s="41"/>
      <c r="C143" s="41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1"/>
      <c r="B144" s="41"/>
      <c r="C144" s="41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1"/>
      <c r="B145" s="41"/>
      <c r="C145" s="41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1"/>
      <c r="B146" s="41"/>
      <c r="C146" s="41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1"/>
      <c r="B147" s="41"/>
      <c r="C147" s="41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1"/>
      <c r="B148" s="41"/>
      <c r="C148" s="41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1"/>
      <c r="B149" s="41"/>
      <c r="C149" s="41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1"/>
      <c r="B150" s="41"/>
      <c r="C150" s="41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1"/>
      <c r="B151" s="41"/>
      <c r="C151" s="41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1"/>
      <c r="B152" s="41"/>
      <c r="C152" s="41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1"/>
      <c r="B153" s="41"/>
      <c r="C153" s="41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1"/>
      <c r="B154" s="41"/>
      <c r="C154" s="41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1"/>
      <c r="B155" s="41"/>
      <c r="C155" s="41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1"/>
      <c r="B156" s="41"/>
      <c r="C156" s="41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1"/>
      <c r="B157" s="41"/>
      <c r="C157" s="41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1"/>
      <c r="B158" s="41"/>
      <c r="C158" s="41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1"/>
      <c r="B159" s="41"/>
      <c r="C159" s="41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1"/>
      <c r="B160" s="41"/>
      <c r="C160" s="41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1"/>
      <c r="B161" s="41"/>
      <c r="C161" s="41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1"/>
      <c r="B162" s="41"/>
      <c r="C162" s="41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1"/>
      <c r="B163" s="41"/>
      <c r="C163" s="41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1"/>
      <c r="B164" s="41"/>
      <c r="C164" s="41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1"/>
      <c r="B165" s="41"/>
      <c r="C165" s="41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1"/>
      <c r="B166" s="41"/>
      <c r="C166" s="41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1"/>
      <c r="B167" s="41"/>
      <c r="C167" s="41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1"/>
      <c r="B168" s="41"/>
      <c r="C168" s="41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1"/>
      <c r="B169" s="41"/>
      <c r="C169" s="41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1"/>
      <c r="B170" s="41"/>
      <c r="C170" s="41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1"/>
      <c r="B171" s="41"/>
      <c r="C171" s="41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1"/>
      <c r="B172" s="41"/>
      <c r="C172" s="41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1"/>
      <c r="B173" s="41"/>
      <c r="C173" s="41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1"/>
      <c r="B174" s="41"/>
      <c r="C174" s="41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1"/>
      <c r="B175" s="41"/>
      <c r="C175" s="41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1"/>
      <c r="B176" s="41"/>
      <c r="C176" s="41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1"/>
      <c r="B177" s="41"/>
      <c r="C177" s="41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1"/>
      <c r="B178" s="41"/>
      <c r="C178" s="41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1"/>
      <c r="B179" s="41"/>
      <c r="C179" s="41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1"/>
      <c r="B180" s="41"/>
      <c r="C180" s="41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1"/>
      <c r="B181" s="41"/>
      <c r="C181" s="41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1"/>
      <c r="B182" s="41"/>
      <c r="C182" s="41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1"/>
      <c r="B183" s="41"/>
      <c r="C183" s="41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1"/>
      <c r="B184" s="41"/>
      <c r="C184" s="41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1"/>
      <c r="B185" s="41"/>
      <c r="C185" s="41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1"/>
      <c r="B186" s="41"/>
      <c r="C186" s="41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1"/>
      <c r="B187" s="41"/>
      <c r="C187" s="41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1"/>
      <c r="B188" s="41"/>
      <c r="C188" s="41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1"/>
      <c r="B189" s="41"/>
      <c r="C189" s="41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1"/>
      <c r="B190" s="41"/>
      <c r="C190" s="41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1"/>
      <c r="B191" s="41"/>
      <c r="C191" s="41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1"/>
      <c r="B192" s="41"/>
      <c r="C192" s="41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1"/>
      <c r="B193" s="41"/>
      <c r="C193" s="41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1"/>
      <c r="B194" s="41"/>
      <c r="C194" s="41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1"/>
      <c r="B195" s="41"/>
      <c r="C195" s="41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1"/>
      <c r="B196" s="41"/>
      <c r="C196" s="41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1"/>
      <c r="B197" s="41"/>
      <c r="C197" s="41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1"/>
      <c r="B198" s="41"/>
      <c r="C198" s="41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1"/>
      <c r="B199" s="41"/>
      <c r="C199" s="41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1"/>
      <c r="B200" s="41"/>
      <c r="C200" s="41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1"/>
      <c r="B201" s="41"/>
      <c r="C201" s="41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1"/>
      <c r="B202" s="41"/>
      <c r="C202" s="41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1"/>
      <c r="B203" s="41"/>
      <c r="C203" s="41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1"/>
      <c r="B204" s="41"/>
      <c r="C204" s="41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1"/>
      <c r="B205" s="41"/>
      <c r="C205" s="41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1"/>
      <c r="B206" s="41"/>
      <c r="C206" s="41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1"/>
      <c r="B207" s="41"/>
      <c r="C207" s="41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1"/>
      <c r="B208" s="41"/>
      <c r="C208" s="41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1"/>
      <c r="B209" s="41"/>
      <c r="C209" s="41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1"/>
      <c r="B210" s="41"/>
      <c r="C210" s="41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1"/>
      <c r="B211" s="41"/>
      <c r="C211" s="41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1"/>
      <c r="B212" s="41"/>
      <c r="C212" s="41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1"/>
      <c r="B213" s="41"/>
      <c r="C213" s="41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1"/>
      <c r="B214" s="41"/>
      <c r="C214" s="41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1"/>
      <c r="B215" s="41"/>
      <c r="C215" s="41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1"/>
      <c r="B216" s="41"/>
      <c r="C216" s="41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1"/>
      <c r="B217" s="41"/>
      <c r="C217" s="41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1"/>
      <c r="B218" s="41"/>
      <c r="C218" s="41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1"/>
      <c r="B219" s="41"/>
      <c r="C219" s="41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1"/>
      <c r="B220" s="41"/>
      <c r="C220" s="41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1"/>
      <c r="B221" s="41"/>
      <c r="C221" s="41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1"/>
      <c r="B222" s="41"/>
      <c r="C222" s="41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1"/>
      <c r="B223" s="41"/>
      <c r="C223" s="41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1"/>
      <c r="B224" s="41"/>
      <c r="C224" s="41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1"/>
      <c r="B225" s="41"/>
      <c r="C225" s="41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1"/>
      <c r="B226" s="41"/>
      <c r="C226" s="41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1"/>
      <c r="B227" s="41"/>
      <c r="C227" s="41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1"/>
      <c r="B228" s="41"/>
      <c r="C228" s="41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1"/>
      <c r="B229" s="41"/>
      <c r="C229" s="41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1"/>
      <c r="B230" s="41"/>
      <c r="C230" s="41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1"/>
      <c r="B231" s="41"/>
      <c r="C231" s="41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1"/>
      <c r="B232" s="41"/>
      <c r="C232" s="41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1"/>
      <c r="B233" s="41"/>
      <c r="C233" s="41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1"/>
      <c r="B234" s="41"/>
      <c r="C234" s="41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1"/>
      <c r="B235" s="41"/>
      <c r="C235" s="41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1"/>
      <c r="B236" s="41"/>
      <c r="C236" s="41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1"/>
      <c r="B237" s="41"/>
      <c r="C237" s="41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1"/>
      <c r="B238" s="41"/>
      <c r="C238" s="41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1"/>
      <c r="B239" s="41"/>
      <c r="C239" s="41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1"/>
      <c r="B240" s="41"/>
      <c r="C240" s="41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1"/>
      <c r="B241" s="41"/>
      <c r="C241" s="41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1"/>
      <c r="B242" s="41"/>
      <c r="C242" s="41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1"/>
      <c r="B243" s="41"/>
      <c r="C243" s="41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1"/>
      <c r="B244" s="41"/>
      <c r="C244" s="41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1"/>
      <c r="B245" s="41"/>
      <c r="C245" s="41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1"/>
      <c r="B246" s="41"/>
      <c r="C246" s="41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1"/>
      <c r="B247" s="41"/>
      <c r="C247" s="41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1"/>
      <c r="B248" s="41"/>
      <c r="C248" s="41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1"/>
      <c r="B249" s="41"/>
      <c r="C249" s="41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1"/>
      <c r="B250" s="41"/>
      <c r="C250" s="41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1"/>
      <c r="B251" s="41"/>
      <c r="C251" s="41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1"/>
      <c r="B252" s="41"/>
      <c r="C252" s="41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1"/>
      <c r="B253" s="41"/>
      <c r="C253" s="41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1"/>
      <c r="B254" s="41"/>
      <c r="C254" s="41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1"/>
      <c r="B255" s="41"/>
      <c r="C255" s="41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1"/>
      <c r="B256" s="41"/>
      <c r="C256" s="41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1"/>
      <c r="B257" s="41"/>
      <c r="C257" s="41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1"/>
      <c r="B258" s="41"/>
      <c r="C258" s="41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1"/>
      <c r="B259" s="41"/>
      <c r="C259" s="41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1"/>
      <c r="B260" s="41"/>
      <c r="C260" s="41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1"/>
      <c r="B261" s="41"/>
      <c r="C261" s="41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1"/>
      <c r="B262" s="41"/>
      <c r="C262" s="41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1"/>
      <c r="B263" s="41"/>
      <c r="C263" s="41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1"/>
      <c r="B264" s="41"/>
      <c r="C264" s="41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1"/>
      <c r="B265" s="41"/>
      <c r="C265" s="41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1"/>
      <c r="B266" s="41"/>
      <c r="C266" s="41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1"/>
      <c r="B267" s="41"/>
      <c r="C267" s="41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1"/>
      <c r="B268" s="41"/>
      <c r="C268" s="41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1"/>
      <c r="B269" s="41"/>
      <c r="C269" s="41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1"/>
      <c r="B270" s="41"/>
      <c r="C270" s="41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1"/>
      <c r="B271" s="41"/>
      <c r="C271" s="41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1"/>
      <c r="B272" s="41"/>
      <c r="C272" s="41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1"/>
      <c r="B273" s="41"/>
      <c r="C273" s="41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1"/>
      <c r="B274" s="41"/>
      <c r="C274" s="41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1"/>
      <c r="B275" s="41"/>
      <c r="C275" s="41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1"/>
      <c r="B276" s="41"/>
      <c r="C276" s="41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1"/>
      <c r="B277" s="41"/>
      <c r="C277" s="41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1"/>
      <c r="B278" s="41"/>
      <c r="C278" s="41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1"/>
      <c r="B279" s="41"/>
      <c r="C279" s="41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1"/>
      <c r="B280" s="41"/>
      <c r="C280" s="41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1"/>
      <c r="B281" s="41"/>
      <c r="C281" s="41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1"/>
      <c r="B282" s="41"/>
      <c r="C282" s="41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1"/>
      <c r="B283" s="41"/>
      <c r="C283" s="41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1"/>
      <c r="B284" s="41"/>
      <c r="C284" s="41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1"/>
      <c r="B285" s="41"/>
      <c r="C285" s="41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1"/>
      <c r="B286" s="41"/>
      <c r="C286" s="41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1"/>
      <c r="B287" s="41"/>
      <c r="C287" s="41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1"/>
      <c r="B288" s="41"/>
      <c r="C288" s="41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1"/>
      <c r="B289" s="41"/>
      <c r="C289" s="41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1"/>
      <c r="B290" s="41"/>
      <c r="C290" s="41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1"/>
      <c r="B291" s="41"/>
      <c r="C291" s="41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1"/>
      <c r="B292" s="41"/>
      <c r="C292" s="41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1"/>
      <c r="B293" s="41"/>
      <c r="C293" s="41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1"/>
      <c r="B294" s="41"/>
      <c r="C294" s="41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1"/>
      <c r="B295" s="41"/>
      <c r="C295" s="41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1"/>
      <c r="B296" s="41"/>
      <c r="C296" s="41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1"/>
      <c r="B297" s="41"/>
      <c r="C297" s="41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1"/>
      <c r="B298" s="41"/>
      <c r="C298" s="41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1"/>
      <c r="B299" s="41"/>
      <c r="C299" s="41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1"/>
      <c r="B300" s="41"/>
      <c r="C300" s="41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1"/>
      <c r="B301" s="41"/>
      <c r="C301" s="41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1"/>
      <c r="B302" s="41"/>
      <c r="C302" s="41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1"/>
      <c r="B303" s="41"/>
      <c r="C303" s="41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1"/>
      <c r="B304" s="41"/>
      <c r="C304" s="41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1"/>
      <c r="B305" s="41"/>
      <c r="C305" s="41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1"/>
      <c r="B306" s="41"/>
      <c r="C306" s="41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1"/>
      <c r="B307" s="41"/>
      <c r="C307" s="41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1"/>
      <c r="B308" s="41"/>
      <c r="C308" s="41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1"/>
      <c r="B309" s="41"/>
      <c r="C309" s="41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1"/>
      <c r="B310" s="41"/>
      <c r="C310" s="41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1"/>
      <c r="B311" s="41"/>
      <c r="C311" s="41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1"/>
      <c r="B312" s="41"/>
      <c r="C312" s="41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1"/>
      <c r="B313" s="41"/>
      <c r="C313" s="41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1"/>
      <c r="B314" s="41"/>
      <c r="C314" s="41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1"/>
      <c r="B315" s="41"/>
      <c r="C315" s="41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1"/>
      <c r="B316" s="41"/>
      <c r="C316" s="41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1"/>
      <c r="B317" s="41"/>
      <c r="C317" s="41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1"/>
      <c r="B318" s="41"/>
      <c r="C318" s="41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1"/>
      <c r="B319" s="41"/>
      <c r="C319" s="41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1"/>
      <c r="B320" s="41"/>
      <c r="C320" s="41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1"/>
      <c r="B321" s="41"/>
      <c r="C321" s="41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1"/>
      <c r="B322" s="41"/>
      <c r="C322" s="41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1"/>
      <c r="B323" s="41"/>
      <c r="C323" s="41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1"/>
      <c r="B324" s="41"/>
      <c r="C324" s="41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74806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2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3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123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3"/>
      <c r="L5" s="12" t="s">
        <v>5</v>
      </c>
      <c r="M5" s="13"/>
      <c r="N5" s="1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4" t="s">
        <v>6</v>
      </c>
      <c r="B6" s="15"/>
      <c r="C6" s="16" t="s">
        <v>7</v>
      </c>
      <c r="D6" s="17" t="s">
        <v>8</v>
      </c>
      <c r="E6" s="17" t="s">
        <v>9</v>
      </c>
      <c r="F6" s="17" t="s">
        <v>10</v>
      </c>
      <c r="G6" s="17" t="s">
        <v>11</v>
      </c>
      <c r="H6" s="18" t="s">
        <v>12</v>
      </c>
      <c r="I6" s="17" t="s">
        <v>13</v>
      </c>
      <c r="J6" s="17" t="s">
        <v>14</v>
      </c>
      <c r="K6" s="17" t="s">
        <v>15</v>
      </c>
      <c r="L6" s="17" t="s">
        <v>16</v>
      </c>
      <c r="M6" s="17" t="s">
        <v>17</v>
      </c>
      <c r="N6" s="17" t="s">
        <v>18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0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0"/>
      <c r="B9" s="2">
        <v>1.0</v>
      </c>
      <c r="C9" s="3" t="s">
        <v>21</v>
      </c>
      <c r="D9" s="6">
        <v>3.272067162E9</v>
      </c>
      <c r="E9" s="6">
        <v>8601710.0</v>
      </c>
      <c r="F9" s="6">
        <f t="shared" ref="F9:F27" si="1">D9-E9</f>
        <v>3263465452</v>
      </c>
      <c r="G9" s="6">
        <v>3.090206979E9</v>
      </c>
      <c r="H9" s="6">
        <v>5226.0</v>
      </c>
      <c r="I9" s="6">
        <v>5182504.0</v>
      </c>
      <c r="J9" s="6">
        <v>4.9193407E7</v>
      </c>
      <c r="K9" s="4">
        <f t="shared" ref="K9:K27" si="2">I9-J9</f>
        <v>-44010903</v>
      </c>
      <c r="L9" s="4">
        <f>I9+Feb!L9</f>
        <v>13207308</v>
      </c>
      <c r="M9" s="4">
        <f>J9+Feb!M9</f>
        <v>144274668</v>
      </c>
      <c r="N9" s="4">
        <f t="shared" ref="N9:N27" si="3">L9-M9</f>
        <v>-131067360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0"/>
      <c r="B10" s="2">
        <f t="shared" ref="B10:B27" si="4">1+B9</f>
        <v>2</v>
      </c>
      <c r="C10" s="3" t="s">
        <v>22</v>
      </c>
      <c r="D10" s="6">
        <v>1.02425687794E9</v>
      </c>
      <c r="E10" s="6">
        <v>5.175717269E7</v>
      </c>
      <c r="F10" s="6">
        <f t="shared" si="1"/>
        <v>972499705.3</v>
      </c>
      <c r="G10" s="6">
        <v>9.072782793E8</v>
      </c>
      <c r="H10" s="6">
        <v>4204.0</v>
      </c>
      <c r="I10" s="6">
        <v>6442723.44</v>
      </c>
      <c r="J10" s="6">
        <v>2.992346105E7</v>
      </c>
      <c r="K10" s="4">
        <f t="shared" si="2"/>
        <v>-23480737.61</v>
      </c>
      <c r="L10" s="4">
        <f>I10+Feb!L10</f>
        <v>30792898.66</v>
      </c>
      <c r="M10" s="4">
        <f>J10+Feb!M10</f>
        <v>133084635.9</v>
      </c>
      <c r="N10" s="4">
        <f t="shared" si="3"/>
        <v>-102291737.2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0"/>
      <c r="B11" s="2">
        <f t="shared" si="4"/>
        <v>3</v>
      </c>
      <c r="C11" s="3" t="s">
        <v>23</v>
      </c>
      <c r="D11" s="6">
        <v>8.8737099185E8</v>
      </c>
      <c r="E11" s="6">
        <v>4613615.08</v>
      </c>
      <c r="F11" s="6">
        <f t="shared" si="1"/>
        <v>882757376.8</v>
      </c>
      <c r="G11" s="6">
        <v>8.0465666499E8</v>
      </c>
      <c r="H11" s="6">
        <v>2337.0</v>
      </c>
      <c r="I11" s="6">
        <v>2292414.78</v>
      </c>
      <c r="J11" s="6">
        <v>1.446734108E7</v>
      </c>
      <c r="K11" s="4">
        <f t="shared" si="2"/>
        <v>-12174926.3</v>
      </c>
      <c r="L11" s="4">
        <f>I11+Feb!L11</f>
        <v>10231428.67</v>
      </c>
      <c r="M11" s="4">
        <f>J11+Feb!M11</f>
        <v>68288818.97</v>
      </c>
      <c r="N11" s="4">
        <f t="shared" si="3"/>
        <v>-58057390.3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0"/>
      <c r="B12" s="2">
        <f t="shared" si="4"/>
        <v>4</v>
      </c>
      <c r="C12" s="3" t="s">
        <v>24</v>
      </c>
      <c r="D12" s="6">
        <v>5.4060941669E8</v>
      </c>
      <c r="E12" s="6">
        <v>2.816086195E7</v>
      </c>
      <c r="F12" s="6">
        <f t="shared" si="1"/>
        <v>512448554.7</v>
      </c>
      <c r="G12" s="6">
        <v>3.2026901775E8</v>
      </c>
      <c r="H12" s="6">
        <v>1677.0</v>
      </c>
      <c r="I12" s="6">
        <v>3.583636375E7</v>
      </c>
      <c r="J12" s="6">
        <v>1070347.25</v>
      </c>
      <c r="K12" s="4">
        <f t="shared" si="2"/>
        <v>34766016.5</v>
      </c>
      <c r="L12" s="4">
        <f>I12+Feb!L12</f>
        <v>36625656.25</v>
      </c>
      <c r="M12" s="4">
        <f>J12+Feb!M12</f>
        <v>18077523.59</v>
      </c>
      <c r="N12" s="4">
        <f t="shared" si="3"/>
        <v>18548132.66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0"/>
      <c r="B13" s="2">
        <f t="shared" si="4"/>
        <v>5</v>
      </c>
      <c r="C13" s="3" t="s">
        <v>25</v>
      </c>
      <c r="D13" s="6">
        <v>2.39662407E8</v>
      </c>
      <c r="E13" s="6">
        <v>2541170.0</v>
      </c>
      <c r="F13" s="6">
        <f t="shared" si="1"/>
        <v>237121237</v>
      </c>
      <c r="G13" s="6">
        <v>2.07601062E8</v>
      </c>
      <c r="H13" s="6">
        <v>1060.0</v>
      </c>
      <c r="I13" s="6">
        <v>119465.0</v>
      </c>
      <c r="J13" s="6">
        <v>9609952.0</v>
      </c>
      <c r="K13" s="4">
        <f t="shared" si="2"/>
        <v>-9490487</v>
      </c>
      <c r="L13" s="4">
        <f>I13+Feb!L13</f>
        <v>367641</v>
      </c>
      <c r="M13" s="4">
        <f>J13+Feb!M13</f>
        <v>26994036</v>
      </c>
      <c r="N13" s="4">
        <f t="shared" si="3"/>
        <v>-26626395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2.243001265E9</v>
      </c>
      <c r="E14" s="6">
        <v>1.2904872E7</v>
      </c>
      <c r="F14" s="6">
        <f t="shared" si="1"/>
        <v>2230096393</v>
      </c>
      <c r="G14" s="6">
        <v>2.010810818E9</v>
      </c>
      <c r="H14" s="6">
        <v>15086.0</v>
      </c>
      <c r="I14" s="6">
        <v>5206303.0</v>
      </c>
      <c r="J14" s="6">
        <v>3.7191773E7</v>
      </c>
      <c r="K14" s="4">
        <f t="shared" si="2"/>
        <v>-31985470</v>
      </c>
      <c r="L14" s="4">
        <f>I14+Feb!L14</f>
        <v>13260639</v>
      </c>
      <c r="M14" s="4">
        <f>J14+Feb!M14</f>
        <v>114703192</v>
      </c>
      <c r="N14" s="4">
        <f t="shared" si="3"/>
        <v>-101442553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6.1619808E7</v>
      </c>
      <c r="E15" s="6">
        <v>202154.0</v>
      </c>
      <c r="F15" s="6">
        <f t="shared" si="1"/>
        <v>61417654</v>
      </c>
      <c r="G15" s="6">
        <v>5.9827032E7</v>
      </c>
      <c r="H15" s="6">
        <v>496.0</v>
      </c>
      <c r="I15" s="6">
        <v>185502.0</v>
      </c>
      <c r="J15" s="6">
        <v>1368429.0</v>
      </c>
      <c r="K15" s="4">
        <f t="shared" si="2"/>
        <v>-1182927</v>
      </c>
      <c r="L15" s="4">
        <f>I15+Feb!L15</f>
        <v>636464</v>
      </c>
      <c r="M15" s="4">
        <f>J15+Feb!M15</f>
        <v>1845483</v>
      </c>
      <c r="N15" s="4">
        <f t="shared" si="3"/>
        <v>-1209019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1.9462107E7</v>
      </c>
      <c r="E16" s="6">
        <v>672280.0</v>
      </c>
      <c r="F16" s="6">
        <f t="shared" si="1"/>
        <v>18789827</v>
      </c>
      <c r="G16" s="6">
        <v>1.7178988E7</v>
      </c>
      <c r="H16" s="6">
        <v>35.0</v>
      </c>
      <c r="I16" s="6">
        <v>0.0</v>
      </c>
      <c r="J16" s="6">
        <v>0.0</v>
      </c>
      <c r="K16" s="4">
        <f t="shared" si="2"/>
        <v>0</v>
      </c>
      <c r="L16" s="4">
        <f>I16+Feb!L16</f>
        <v>0</v>
      </c>
      <c r="M16" s="4">
        <f>J16+Feb!M16</f>
        <v>0</v>
      </c>
      <c r="N16" s="4">
        <f t="shared" si="3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8.66205842E8</v>
      </c>
      <c r="E17" s="6">
        <v>2.9174958E7</v>
      </c>
      <c r="F17" s="6">
        <f t="shared" si="1"/>
        <v>837030884</v>
      </c>
      <c r="G17" s="6">
        <v>8.46308665E8</v>
      </c>
      <c r="H17" s="6">
        <v>10290.0</v>
      </c>
      <c r="I17" s="6">
        <v>0.0</v>
      </c>
      <c r="J17" s="6">
        <v>5655258.0</v>
      </c>
      <c r="K17" s="4">
        <f t="shared" si="2"/>
        <v>-5655258</v>
      </c>
      <c r="L17" s="4">
        <f>I17+Feb!L17</f>
        <v>0</v>
      </c>
      <c r="M17" s="4">
        <f>J17+Feb!M17</f>
        <v>28492183</v>
      </c>
      <c r="N17" s="4">
        <f t="shared" si="3"/>
        <v>-28492183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2.596188973E9</v>
      </c>
      <c r="E18" s="6">
        <v>1.4886783E7</v>
      </c>
      <c r="F18" s="6">
        <f t="shared" si="1"/>
        <v>2581302190</v>
      </c>
      <c r="G18" s="6">
        <v>2.46286064E9</v>
      </c>
      <c r="H18" s="6">
        <v>9801.0</v>
      </c>
      <c r="I18" s="6">
        <v>0.0</v>
      </c>
      <c r="J18" s="6">
        <v>5.1587153E7</v>
      </c>
      <c r="K18" s="4">
        <f t="shared" si="2"/>
        <v>-51587153</v>
      </c>
      <c r="L18" s="4">
        <f>I18+Feb!L18</f>
        <v>0</v>
      </c>
      <c r="M18" s="4">
        <f>J18+Feb!M18</f>
        <v>116320477</v>
      </c>
      <c r="N18" s="4">
        <f t="shared" si="3"/>
        <v>-116320477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2.54767078301E9</v>
      </c>
      <c r="E19" s="6">
        <v>9874725.12</v>
      </c>
      <c r="F19" s="6">
        <f t="shared" si="1"/>
        <v>2537796058</v>
      </c>
      <c r="G19" s="6">
        <v>2.45654250137E9</v>
      </c>
      <c r="H19" s="6">
        <v>5174.0</v>
      </c>
      <c r="I19" s="6">
        <v>5004934.9</v>
      </c>
      <c r="J19" s="6">
        <v>1.636520819E7</v>
      </c>
      <c r="K19" s="4">
        <f t="shared" si="2"/>
        <v>-11360273.29</v>
      </c>
      <c r="L19" s="4">
        <f>I19+Feb!L19</f>
        <v>37064224</v>
      </c>
      <c r="M19" s="4">
        <f>J19+Feb!M19</f>
        <v>158101232</v>
      </c>
      <c r="N19" s="4">
        <f t="shared" si="3"/>
        <v>-121037008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7.81548928799E9</v>
      </c>
      <c r="E20" s="6">
        <v>3.827749515E7</v>
      </c>
      <c r="F20" s="6">
        <f t="shared" si="1"/>
        <v>7777211793</v>
      </c>
      <c r="G20" s="6">
        <v>7.41030423926E9</v>
      </c>
      <c r="H20" s="6">
        <v>29927.0</v>
      </c>
      <c r="I20" s="6">
        <v>5399760.31</v>
      </c>
      <c r="J20" s="6">
        <v>4.961196409E7</v>
      </c>
      <c r="K20" s="4">
        <f t="shared" si="2"/>
        <v>-44212203.78</v>
      </c>
      <c r="L20" s="4">
        <f>I20+Feb!L20</f>
        <v>25970226.29</v>
      </c>
      <c r="M20" s="4">
        <f>J20+Feb!M20</f>
        <v>214562135.6</v>
      </c>
      <c r="N20" s="4">
        <f t="shared" si="3"/>
        <v>-188591909.3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2.7729256712E8</v>
      </c>
      <c r="E21" s="6">
        <v>842315.71</v>
      </c>
      <c r="F21" s="6">
        <f t="shared" si="1"/>
        <v>276450251.4</v>
      </c>
      <c r="G21" s="6">
        <v>2.7313188867E8</v>
      </c>
      <c r="H21" s="6">
        <v>887.0</v>
      </c>
      <c r="I21" s="6">
        <v>1220789.48</v>
      </c>
      <c r="J21" s="6">
        <v>602287.17</v>
      </c>
      <c r="K21" s="4">
        <f t="shared" si="2"/>
        <v>618502.31</v>
      </c>
      <c r="L21" s="4">
        <f>I21+Feb!L21</f>
        <v>1899388.16</v>
      </c>
      <c r="M21" s="4">
        <f>J21+Feb!M21</f>
        <v>32980883.28</v>
      </c>
      <c r="N21" s="4">
        <f t="shared" si="3"/>
        <v>-31081495.12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2.81163614879E9</v>
      </c>
      <c r="E22" s="6">
        <v>8764734.43</v>
      </c>
      <c r="F22" s="6">
        <f t="shared" si="1"/>
        <v>2802871414</v>
      </c>
      <c r="G22" s="6">
        <v>2.75692514949E9</v>
      </c>
      <c r="H22" s="6">
        <v>21098.0</v>
      </c>
      <c r="I22" s="6">
        <v>4258924.86</v>
      </c>
      <c r="J22" s="6">
        <v>1.818472605E7</v>
      </c>
      <c r="K22" s="4">
        <f t="shared" si="2"/>
        <v>-13925801.19</v>
      </c>
      <c r="L22" s="4">
        <f>I22+Feb!L22</f>
        <v>10846874.78</v>
      </c>
      <c r="M22" s="4">
        <f>J22+Feb!M22</f>
        <v>421306739.6</v>
      </c>
      <c r="N22" s="4">
        <f t="shared" si="3"/>
        <v>-410459864.8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4.883924942E9</v>
      </c>
      <c r="E23" s="6">
        <v>5.6916151E7</v>
      </c>
      <c r="F23" s="6">
        <f t="shared" si="1"/>
        <v>4827008791</v>
      </c>
      <c r="G23" s="6">
        <v>4.785741384E9</v>
      </c>
      <c r="H23" s="6">
        <v>11298.0</v>
      </c>
      <c r="I23" s="6">
        <v>899555.0</v>
      </c>
      <c r="J23" s="6">
        <v>1.19895556E8</v>
      </c>
      <c r="K23" s="4">
        <f t="shared" si="2"/>
        <v>-118996001</v>
      </c>
      <c r="L23" s="4">
        <f>I23+Feb!L23</f>
        <v>4204986</v>
      </c>
      <c r="M23" s="4">
        <f>J23+Feb!M23</f>
        <v>313352018</v>
      </c>
      <c r="N23" s="4">
        <f t="shared" si="3"/>
        <v>-309147032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1" t="s">
        <v>36</v>
      </c>
      <c r="D24" s="6">
        <v>3.40930661233E9</v>
      </c>
      <c r="E24" s="6">
        <v>1.221111586E7</v>
      </c>
      <c r="F24" s="6">
        <f t="shared" si="1"/>
        <v>3397095496</v>
      </c>
      <c r="G24" s="6">
        <v>3.00808497866E9</v>
      </c>
      <c r="H24" s="6">
        <v>11597.0</v>
      </c>
      <c r="I24" s="6">
        <v>284604.33</v>
      </c>
      <c r="J24" s="6">
        <v>3477536.3</v>
      </c>
      <c r="K24" s="4">
        <f t="shared" si="2"/>
        <v>-3192931.97</v>
      </c>
      <c r="L24" s="4">
        <f>I24+Feb!L24</f>
        <v>841511.93</v>
      </c>
      <c r="M24" s="4">
        <f>J24+Feb!M24</f>
        <v>15442703.98</v>
      </c>
      <c r="N24" s="4">
        <f t="shared" si="3"/>
        <v>-14601192.05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2"/>
      <c r="B25" s="2">
        <f t="shared" si="4"/>
        <v>17</v>
      </c>
      <c r="C25" s="23" t="s">
        <v>37</v>
      </c>
      <c r="D25" s="6">
        <v>3.996558204E9</v>
      </c>
      <c r="E25" s="6">
        <v>4.5136949E7</v>
      </c>
      <c r="F25" s="6">
        <f t="shared" si="1"/>
        <v>3951421255</v>
      </c>
      <c r="G25" s="6">
        <v>3.796763371E9</v>
      </c>
      <c r="H25" s="6">
        <v>67499.0</v>
      </c>
      <c r="I25" s="6">
        <v>2.2416978E7</v>
      </c>
      <c r="J25" s="6">
        <v>1.12719626E8</v>
      </c>
      <c r="K25" s="4">
        <f t="shared" si="2"/>
        <v>-90302648</v>
      </c>
      <c r="L25" s="4">
        <f>I25+Feb!L25</f>
        <v>43538077</v>
      </c>
      <c r="M25" s="4">
        <f>J25+Feb!M25</f>
        <v>375410796</v>
      </c>
      <c r="N25" s="4">
        <f t="shared" si="3"/>
        <v>-331872719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2"/>
      <c r="B26" s="2">
        <f t="shared" si="4"/>
        <v>18</v>
      </c>
      <c r="C26" s="23" t="s">
        <v>38</v>
      </c>
      <c r="D26" s="6">
        <v>6.577452216E9</v>
      </c>
      <c r="E26" s="6">
        <v>7.7696763E7</v>
      </c>
      <c r="F26" s="6">
        <f t="shared" si="1"/>
        <v>6499755453</v>
      </c>
      <c r="G26" s="6">
        <v>6.470840542E9</v>
      </c>
      <c r="H26" s="6">
        <v>58532.0</v>
      </c>
      <c r="I26" s="6">
        <v>2.0239526E7</v>
      </c>
      <c r="J26" s="6">
        <v>1.98797261E8</v>
      </c>
      <c r="K26" s="4">
        <f t="shared" si="2"/>
        <v>-178557735</v>
      </c>
      <c r="L26" s="4">
        <f>I26+Feb!L26</f>
        <v>44166778</v>
      </c>
      <c r="M26" s="4">
        <f>J26+Feb!M26</f>
        <v>607311168</v>
      </c>
      <c r="N26" s="4">
        <f t="shared" si="3"/>
        <v>-563144390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5.5276779767E8</v>
      </c>
      <c r="E27" s="6">
        <v>2.272647625E7</v>
      </c>
      <c r="F27" s="6">
        <f t="shared" si="1"/>
        <v>530041321.4</v>
      </c>
      <c r="G27" s="6">
        <v>4.958151556E8</v>
      </c>
      <c r="H27" s="6">
        <v>1171.0</v>
      </c>
      <c r="I27" s="6">
        <v>3174479.42</v>
      </c>
      <c r="J27" s="6">
        <v>514311.56</v>
      </c>
      <c r="K27" s="4">
        <f t="shared" si="2"/>
        <v>2660167.86</v>
      </c>
      <c r="L27" s="4">
        <f>I27+Feb!L27</f>
        <v>3601774.95</v>
      </c>
      <c r="M27" s="4">
        <f>J27+Feb!M27</f>
        <v>1285828.52</v>
      </c>
      <c r="N27" s="4">
        <f t="shared" si="3"/>
        <v>2315946.43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0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0"/>
      <c r="B29" s="2">
        <f>1+B27</f>
        <v>20</v>
      </c>
      <c r="C29" s="3" t="s">
        <v>41</v>
      </c>
      <c r="D29" s="6">
        <v>2.3455528002E8</v>
      </c>
      <c r="E29" s="6">
        <v>426165.63</v>
      </c>
      <c r="F29" s="6">
        <f t="shared" ref="F29:F32" si="5">D29-E29</f>
        <v>234129114.4</v>
      </c>
      <c r="G29" s="6">
        <v>2.3063000081E8</v>
      </c>
      <c r="H29" s="6">
        <v>5251.0</v>
      </c>
      <c r="I29" s="6">
        <v>6342138.56</v>
      </c>
      <c r="J29" s="6">
        <v>2830530.54</v>
      </c>
      <c r="K29" s="4">
        <f t="shared" ref="K29:K32" si="6">I29-J29</f>
        <v>3511608.02</v>
      </c>
      <c r="L29" s="4">
        <f>I29+Feb!L29</f>
        <v>17421091.99</v>
      </c>
      <c r="M29" s="4">
        <f>J29+Feb!M29</f>
        <v>44221905.32</v>
      </c>
      <c r="N29" s="4">
        <f t="shared" ref="N29:N32" si="7">L29-M29</f>
        <v>-26800813.33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0"/>
      <c r="B30" s="2">
        <f t="shared" ref="B30:B32" si="8">1+B29</f>
        <v>21</v>
      </c>
      <c r="C30" s="3" t="s">
        <v>42</v>
      </c>
      <c r="D30" s="6">
        <v>2.9497850238E8</v>
      </c>
      <c r="E30" s="6">
        <v>828623.13</v>
      </c>
      <c r="F30" s="6">
        <f t="shared" si="5"/>
        <v>294149879.3</v>
      </c>
      <c r="G30" s="6">
        <v>2.20243098E8</v>
      </c>
      <c r="H30" s="6">
        <v>8633.0</v>
      </c>
      <c r="I30" s="6">
        <v>4753871.49</v>
      </c>
      <c r="J30" s="6">
        <v>1.348606582E7</v>
      </c>
      <c r="K30" s="4">
        <f t="shared" si="6"/>
        <v>-8732194.33</v>
      </c>
      <c r="L30" s="4">
        <f>I30+Feb!L30</f>
        <v>13101641.99</v>
      </c>
      <c r="M30" s="4">
        <f>J30+Feb!M30</f>
        <v>72601507.79</v>
      </c>
      <c r="N30" s="4">
        <f t="shared" si="7"/>
        <v>-59499865.8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1.9403589383E8</v>
      </c>
      <c r="E31" s="6">
        <v>4665031.54</v>
      </c>
      <c r="F31" s="6">
        <f t="shared" si="5"/>
        <v>189370862.3</v>
      </c>
      <c r="G31" s="6">
        <v>1.770132282E8</v>
      </c>
      <c r="H31" s="6">
        <v>1045.0</v>
      </c>
      <c r="I31" s="6">
        <v>114821.04</v>
      </c>
      <c r="J31" s="6">
        <v>108858.09</v>
      </c>
      <c r="K31" s="4">
        <f t="shared" si="6"/>
        <v>5962.95</v>
      </c>
      <c r="L31" s="4">
        <f>I31+Feb!L31</f>
        <v>429813.64</v>
      </c>
      <c r="M31" s="4">
        <f>J31+Feb!M31</f>
        <v>6561681.03</v>
      </c>
      <c r="N31" s="4">
        <f t="shared" si="7"/>
        <v>-6131867.39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4.99748138E8</v>
      </c>
      <c r="E32" s="6">
        <v>1.049348E7</v>
      </c>
      <c r="F32" s="6">
        <f t="shared" si="5"/>
        <v>489254658</v>
      </c>
      <c r="G32" s="6">
        <v>4.8222746E8</v>
      </c>
      <c r="H32" s="6">
        <v>801221.0</v>
      </c>
      <c r="I32" s="6">
        <v>1.6419406E7</v>
      </c>
      <c r="J32" s="6">
        <v>3.4454925E7</v>
      </c>
      <c r="K32" s="4">
        <f t="shared" si="6"/>
        <v>-18035519</v>
      </c>
      <c r="L32" s="4">
        <f>I32+Feb!L32</f>
        <v>40199983</v>
      </c>
      <c r="M32" s="4">
        <f>J32+Feb!M32</f>
        <v>132184129</v>
      </c>
      <c r="N32" s="4">
        <f t="shared" si="7"/>
        <v>-91984146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0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1.224566977E9</v>
      </c>
      <c r="E34" s="6">
        <v>1466889.0</v>
      </c>
      <c r="F34" s="6">
        <f>D34-E34</f>
        <v>1223100088</v>
      </c>
      <c r="G34" s="6">
        <v>1.208912523E9</v>
      </c>
      <c r="H34" s="6">
        <v>3238.0</v>
      </c>
      <c r="I34" s="6">
        <v>0.0</v>
      </c>
      <c r="J34" s="6">
        <v>1.582539E7</v>
      </c>
      <c r="K34" s="4">
        <f>I34-J34</f>
        <v>-15825390</v>
      </c>
      <c r="L34" s="4">
        <f>I34+Feb!L34</f>
        <v>8414744</v>
      </c>
      <c r="M34" s="4">
        <f>J34+Feb!M34</f>
        <v>92950465</v>
      </c>
      <c r="N34" s="4">
        <f>L34-M34</f>
        <v>-84535721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4" t="s">
        <v>46</v>
      </c>
      <c r="B35" s="25"/>
      <c r="C35" s="1"/>
      <c r="D35" s="26">
        <f t="shared" ref="D35:N35" si="9">SUM(D9:D34)</f>
        <v>47070428201</v>
      </c>
      <c r="E35" s="26">
        <f t="shared" si="9"/>
        <v>443842491.5</v>
      </c>
      <c r="F35" s="26">
        <f t="shared" si="9"/>
        <v>46626585709</v>
      </c>
      <c r="G35" s="26">
        <f t="shared" si="9"/>
        <v>44500173666</v>
      </c>
      <c r="H35" s="27">
        <f t="shared" si="9"/>
        <v>1076783</v>
      </c>
      <c r="I35" s="26">
        <f t="shared" si="9"/>
        <v>145795065.4</v>
      </c>
      <c r="J35" s="26">
        <f t="shared" si="9"/>
        <v>786941367.2</v>
      </c>
      <c r="K35" s="26">
        <f t="shared" si="9"/>
        <v>-641146301.8</v>
      </c>
      <c r="L35" s="26">
        <f t="shared" si="9"/>
        <v>356823151.3</v>
      </c>
      <c r="M35" s="26">
        <f t="shared" si="9"/>
        <v>3140354210</v>
      </c>
      <c r="N35" s="26">
        <f t="shared" si="9"/>
        <v>-2783531059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0" t="s">
        <v>47</v>
      </c>
      <c r="B36" s="2"/>
      <c r="C36" s="3"/>
      <c r="D36" s="6"/>
      <c r="E36" s="6"/>
      <c r="F36" s="6"/>
      <c r="G36" s="6"/>
      <c r="H36" s="28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2.751019956E7</v>
      </c>
      <c r="E37" s="6">
        <v>304498.14</v>
      </c>
      <c r="F37" s="6">
        <f t="shared" ref="F37:F38" si="10">D37-E37</f>
        <v>27205701.42</v>
      </c>
      <c r="G37" s="6">
        <v>0.0</v>
      </c>
      <c r="H37" s="28">
        <v>42.0</v>
      </c>
      <c r="I37" s="6">
        <v>18209.21</v>
      </c>
      <c r="J37" s="6">
        <v>448009.82</v>
      </c>
      <c r="K37" s="4">
        <f t="shared" ref="K37:K38" si="11">I37-J37</f>
        <v>-429800.61</v>
      </c>
      <c r="L37" s="4">
        <f>I37+Feb!L37</f>
        <v>41428.62</v>
      </c>
      <c r="M37" s="4">
        <f>J37+Feb!M37</f>
        <v>5253395.68</v>
      </c>
      <c r="N37" s="4">
        <f t="shared" ref="N37:N38" si="12">L37-M37</f>
        <v>-5211967.06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2.256911949E9</v>
      </c>
      <c r="E38" s="6">
        <v>4.1712775E7</v>
      </c>
      <c r="F38" s="6">
        <f t="shared" si="10"/>
        <v>2215199174</v>
      </c>
      <c r="G38" s="6">
        <v>0.0</v>
      </c>
      <c r="H38" s="28">
        <v>3375.0</v>
      </c>
      <c r="I38" s="6">
        <v>1.3741678E7</v>
      </c>
      <c r="J38" s="6">
        <v>1.26285511E8</v>
      </c>
      <c r="K38" s="4">
        <f t="shared" si="11"/>
        <v>-112543833</v>
      </c>
      <c r="L38" s="4">
        <f>I38+Feb!L38</f>
        <v>245768807</v>
      </c>
      <c r="M38" s="4">
        <f>J38+Feb!M38</f>
        <v>178921052</v>
      </c>
      <c r="N38" s="4">
        <f t="shared" si="12"/>
        <v>66847755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0" t="s">
        <v>109</v>
      </c>
      <c r="B39" s="2"/>
      <c r="C39" s="3"/>
      <c r="D39" s="6"/>
      <c r="E39" s="6"/>
      <c r="F39" s="6"/>
      <c r="G39" s="6"/>
      <c r="H39" s="28"/>
      <c r="I39" s="6"/>
      <c r="J39" s="6"/>
      <c r="K39" s="4"/>
      <c r="L39" s="4"/>
      <c r="M39" s="4"/>
      <c r="N39" s="4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12.0" customHeight="1">
      <c r="A40" s="3"/>
      <c r="B40" s="2">
        <f>1+B38</f>
        <v>27</v>
      </c>
      <c r="C40" s="3" t="s">
        <v>124</v>
      </c>
      <c r="D40" s="6">
        <v>509686.99</v>
      </c>
      <c r="E40" s="6">
        <v>0.0</v>
      </c>
      <c r="F40" s="6">
        <f>D40-E40</f>
        <v>509686.99</v>
      </c>
      <c r="G40" s="6">
        <v>0.0</v>
      </c>
      <c r="H40" s="28">
        <v>32.0</v>
      </c>
      <c r="I40" s="6">
        <v>13526.68</v>
      </c>
      <c r="J40" s="6">
        <v>0.0</v>
      </c>
      <c r="K40" s="4">
        <f>I40-J40</f>
        <v>13526.68</v>
      </c>
      <c r="L40" s="4">
        <f>I40+Feb!L40</f>
        <v>509098.82</v>
      </c>
      <c r="M40" s="4">
        <f>J40+Feb!M40</f>
        <v>0</v>
      </c>
      <c r="N40" s="4">
        <f>L40-M40</f>
        <v>509098.82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12.0" customHeight="1">
      <c r="A41" s="24" t="s">
        <v>50</v>
      </c>
      <c r="B41" s="25"/>
      <c r="C41" s="1"/>
      <c r="D41" s="26">
        <f t="shared" ref="D41:N41" si="13">SUM(D37:D38)+D40</f>
        <v>2284931836</v>
      </c>
      <c r="E41" s="26">
        <f t="shared" si="13"/>
        <v>42017273.14</v>
      </c>
      <c r="F41" s="26">
        <f t="shared" si="13"/>
        <v>2242914562</v>
      </c>
      <c r="G41" s="26">
        <f t="shared" si="13"/>
        <v>0</v>
      </c>
      <c r="H41" s="26">
        <f t="shared" si="13"/>
        <v>3449</v>
      </c>
      <c r="I41" s="26">
        <f t="shared" si="13"/>
        <v>13773413.89</v>
      </c>
      <c r="J41" s="26">
        <f t="shared" si="13"/>
        <v>126733520.8</v>
      </c>
      <c r="K41" s="26">
        <f t="shared" si="13"/>
        <v>-112960106.9</v>
      </c>
      <c r="L41" s="26">
        <f t="shared" si="13"/>
        <v>246319334.4</v>
      </c>
      <c r="M41" s="26">
        <f t="shared" si="13"/>
        <v>184174447.7</v>
      </c>
      <c r="N41" s="26">
        <f t="shared" si="13"/>
        <v>62144886.76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2.0" customHeight="1">
      <c r="A42" s="1" t="s">
        <v>51</v>
      </c>
      <c r="B42" s="25"/>
      <c r="C42" s="1"/>
      <c r="D42" s="26">
        <f t="shared" ref="D42:N42" si="14">D35+D41</f>
        <v>49355360036</v>
      </c>
      <c r="E42" s="26">
        <f t="shared" si="14"/>
        <v>485859764.7</v>
      </c>
      <c r="F42" s="26">
        <f t="shared" si="14"/>
        <v>48869500271</v>
      </c>
      <c r="G42" s="26">
        <f t="shared" si="14"/>
        <v>44500173666</v>
      </c>
      <c r="H42" s="29">
        <f t="shared" si="14"/>
        <v>1080232</v>
      </c>
      <c r="I42" s="26">
        <f t="shared" si="14"/>
        <v>159568479.3</v>
      </c>
      <c r="J42" s="26">
        <f t="shared" si="14"/>
        <v>913674888</v>
      </c>
      <c r="K42" s="26">
        <f t="shared" si="14"/>
        <v>-754106408.8</v>
      </c>
      <c r="L42" s="26">
        <f t="shared" si="14"/>
        <v>603142485.8</v>
      </c>
      <c r="M42" s="26">
        <f t="shared" si="14"/>
        <v>3324528658</v>
      </c>
      <c r="N42" s="26">
        <f t="shared" si="14"/>
        <v>-2721386172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2.0" customHeight="1">
      <c r="A43" s="1" t="s">
        <v>52</v>
      </c>
      <c r="B43" s="2"/>
      <c r="C43" s="3"/>
      <c r="D43" s="30"/>
      <c r="E43" s="30"/>
      <c r="F43" s="30"/>
      <c r="G43" s="30"/>
      <c r="H43" s="31"/>
      <c r="I43" s="30"/>
      <c r="J43" s="30"/>
      <c r="K43" s="30"/>
      <c r="L43" s="30"/>
      <c r="M43" s="30"/>
      <c r="N43" s="3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20" t="s">
        <v>20</v>
      </c>
      <c r="B44" s="2"/>
      <c r="C44" s="3"/>
      <c r="D44" s="6"/>
      <c r="E44" s="6"/>
      <c r="F44" s="6"/>
      <c r="G44" s="6"/>
      <c r="H44" s="32"/>
      <c r="I44" s="6"/>
      <c r="J44" s="4"/>
      <c r="K44" s="4"/>
      <c r="L44" s="4"/>
      <c r="M44" s="4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>1+B40</f>
        <v>28</v>
      </c>
      <c r="C45" s="3" t="s">
        <v>53</v>
      </c>
      <c r="D45" s="6">
        <v>3.7140027951E8</v>
      </c>
      <c r="E45" s="4">
        <v>3007853.67</v>
      </c>
      <c r="F45" s="6">
        <f t="shared" ref="F45:F54" si="15">D45-E45</f>
        <v>368392425.8</v>
      </c>
      <c r="G45" s="6">
        <v>1.8670389788E8</v>
      </c>
      <c r="H45" s="28">
        <v>2323.0</v>
      </c>
      <c r="I45" s="6">
        <v>841457.64</v>
      </c>
      <c r="J45" s="6">
        <v>1641817.81</v>
      </c>
      <c r="K45" s="4">
        <f t="shared" ref="K45:K54" si="16">I45-J45</f>
        <v>-800360.17</v>
      </c>
      <c r="L45" s="4">
        <f>I45+Feb!L45</f>
        <v>1820702.94</v>
      </c>
      <c r="M45" s="4">
        <f>J45+Feb!M45</f>
        <v>11914004.14</v>
      </c>
      <c r="N45" s="4">
        <f t="shared" ref="N45:N54" si="17">L45-M45</f>
        <v>-10093301.2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ref="B46:B54" si="18">1+B45</f>
        <v>29</v>
      </c>
      <c r="C46" s="3" t="s">
        <v>54</v>
      </c>
      <c r="D46" s="6">
        <v>1.1151557418E8</v>
      </c>
      <c r="E46" s="4">
        <v>262474.23</v>
      </c>
      <c r="F46" s="6">
        <f t="shared" si="15"/>
        <v>111253100</v>
      </c>
      <c r="G46" s="6">
        <v>2.87579152E7</v>
      </c>
      <c r="H46" s="28">
        <v>837.0</v>
      </c>
      <c r="I46" s="6">
        <v>126509.32</v>
      </c>
      <c r="J46" s="6">
        <v>692870.31</v>
      </c>
      <c r="K46" s="4">
        <f t="shared" si="16"/>
        <v>-566360.99</v>
      </c>
      <c r="L46" s="4">
        <f>I46+Feb!L46</f>
        <v>937521.68</v>
      </c>
      <c r="M46" s="4">
        <f>J46+Feb!M46</f>
        <v>4015149.27</v>
      </c>
      <c r="N46" s="4">
        <f t="shared" si="17"/>
        <v>-3077627.59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30</v>
      </c>
      <c r="C47" s="3" t="s">
        <v>55</v>
      </c>
      <c r="D47" s="6">
        <v>5.43646522E8</v>
      </c>
      <c r="E47" s="4">
        <v>7731231.0</v>
      </c>
      <c r="F47" s="6">
        <f t="shared" si="15"/>
        <v>535915291</v>
      </c>
      <c r="G47" s="6">
        <v>2.73531293E8</v>
      </c>
      <c r="H47" s="28">
        <v>4504.0</v>
      </c>
      <c r="I47" s="6">
        <v>387927.0</v>
      </c>
      <c r="J47" s="6">
        <v>3624873.0</v>
      </c>
      <c r="K47" s="4">
        <f t="shared" si="16"/>
        <v>-3236946</v>
      </c>
      <c r="L47" s="4">
        <f>I47+Feb!L47</f>
        <v>1261593</v>
      </c>
      <c r="M47" s="4">
        <f>J47+Feb!M47</f>
        <v>20702616</v>
      </c>
      <c r="N47" s="4">
        <f t="shared" si="17"/>
        <v>-19441023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31</v>
      </c>
      <c r="C48" s="3" t="s">
        <v>56</v>
      </c>
      <c r="D48" s="6">
        <v>4.22240371E8</v>
      </c>
      <c r="E48" s="4">
        <v>1324202.0</v>
      </c>
      <c r="F48" s="6">
        <f t="shared" si="15"/>
        <v>420916169</v>
      </c>
      <c r="G48" s="6">
        <v>2.16282863E8</v>
      </c>
      <c r="H48" s="28">
        <v>571.0</v>
      </c>
      <c r="I48" s="6">
        <v>5340619.0</v>
      </c>
      <c r="J48" s="6">
        <v>4.2061757E7</v>
      </c>
      <c r="K48" s="4">
        <f t="shared" si="16"/>
        <v>-36721138</v>
      </c>
      <c r="L48" s="4">
        <f>I48+Feb!L48</f>
        <v>22639926</v>
      </c>
      <c r="M48" s="4">
        <f>J48+Feb!M48</f>
        <v>45030874</v>
      </c>
      <c r="N48" s="4">
        <f t="shared" si="17"/>
        <v>-22390948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32</v>
      </c>
      <c r="C49" s="3" t="s">
        <v>57</v>
      </c>
      <c r="D49" s="6">
        <v>3.17451025E8</v>
      </c>
      <c r="E49" s="4">
        <v>2703238.0</v>
      </c>
      <c r="F49" s="6">
        <f t="shared" si="15"/>
        <v>314747787</v>
      </c>
      <c r="G49" s="6">
        <v>1.49338537E8</v>
      </c>
      <c r="H49" s="28">
        <v>45.0</v>
      </c>
      <c r="I49" s="6">
        <v>0.0</v>
      </c>
      <c r="J49" s="6">
        <v>0.0</v>
      </c>
      <c r="K49" s="4">
        <f t="shared" si="16"/>
        <v>0</v>
      </c>
      <c r="L49" s="4">
        <f>I49+Feb!L49</f>
        <v>0</v>
      </c>
      <c r="M49" s="4">
        <f>J49+Feb!M49</f>
        <v>0</v>
      </c>
      <c r="N49" s="4">
        <f t="shared" si="17"/>
        <v>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2.0" customHeight="1">
      <c r="A50" s="3"/>
      <c r="B50" s="2">
        <f t="shared" si="18"/>
        <v>33</v>
      </c>
      <c r="C50" s="3" t="s">
        <v>58</v>
      </c>
      <c r="D50" s="6">
        <v>3.7505692E8</v>
      </c>
      <c r="E50" s="4">
        <v>2235019.0</v>
      </c>
      <c r="F50" s="6">
        <f t="shared" si="15"/>
        <v>372821901</v>
      </c>
      <c r="G50" s="6">
        <v>1.8027513E8</v>
      </c>
      <c r="H50" s="28">
        <v>9348.0</v>
      </c>
      <c r="I50" s="6">
        <v>44450.0</v>
      </c>
      <c r="J50" s="6">
        <v>1.0099461E7</v>
      </c>
      <c r="K50" s="4">
        <f t="shared" si="16"/>
        <v>-10055011</v>
      </c>
      <c r="L50" s="4">
        <f>I50+Feb!L50</f>
        <v>84370</v>
      </c>
      <c r="M50" s="4">
        <f>J50+Feb!M50</f>
        <v>14992357</v>
      </c>
      <c r="N50" s="4">
        <f t="shared" si="17"/>
        <v>-14907987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34</v>
      </c>
      <c r="C51" s="3" t="s">
        <v>59</v>
      </c>
      <c r="D51" s="6">
        <v>1.599011998E9</v>
      </c>
      <c r="E51" s="4">
        <v>1.3186974E7</v>
      </c>
      <c r="F51" s="6">
        <f t="shared" si="15"/>
        <v>1585825024</v>
      </c>
      <c r="G51" s="6">
        <v>7.83445969E8</v>
      </c>
      <c r="H51" s="28">
        <v>6562.0</v>
      </c>
      <c r="I51" s="6">
        <v>1347509.0</v>
      </c>
      <c r="J51" s="6">
        <v>8187712.0</v>
      </c>
      <c r="K51" s="4">
        <f t="shared" si="16"/>
        <v>-6840203</v>
      </c>
      <c r="L51" s="4">
        <f>I51+Feb!L51</f>
        <v>3019317</v>
      </c>
      <c r="M51" s="4">
        <f>J51+Feb!M51</f>
        <v>43241444</v>
      </c>
      <c r="N51" s="4">
        <f t="shared" si="17"/>
        <v>-40222127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1.25" customHeight="1">
      <c r="A52" s="20"/>
      <c r="B52" s="2">
        <f t="shared" si="18"/>
        <v>35</v>
      </c>
      <c r="C52" s="3" t="s">
        <v>60</v>
      </c>
      <c r="D52" s="6">
        <v>1.12373626E8</v>
      </c>
      <c r="E52" s="4">
        <v>356679.0</v>
      </c>
      <c r="F52" s="6">
        <f t="shared" si="15"/>
        <v>112016947</v>
      </c>
      <c r="G52" s="6">
        <v>5.275518E7</v>
      </c>
      <c r="H52" s="28">
        <v>147.0</v>
      </c>
      <c r="I52" s="6">
        <v>0.0</v>
      </c>
      <c r="J52" s="6">
        <v>274449.0</v>
      </c>
      <c r="K52" s="4">
        <f t="shared" si="16"/>
        <v>-274449</v>
      </c>
      <c r="L52" s="4">
        <f>I52+Feb!L52</f>
        <v>0</v>
      </c>
      <c r="M52" s="4">
        <f>J52+Feb!M52</f>
        <v>1711051</v>
      </c>
      <c r="N52" s="4">
        <f t="shared" si="17"/>
        <v>-1711051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3"/>
      <c r="B53" s="2">
        <f t="shared" si="18"/>
        <v>36</v>
      </c>
      <c r="C53" s="3" t="s">
        <v>61</v>
      </c>
      <c r="D53" s="6">
        <v>4.626503827E9</v>
      </c>
      <c r="E53" s="4">
        <v>7.8606012E7</v>
      </c>
      <c r="F53" s="6">
        <f t="shared" si="15"/>
        <v>4547897815</v>
      </c>
      <c r="G53" s="6">
        <v>2.260584975E9</v>
      </c>
      <c r="H53" s="28">
        <v>54857.0</v>
      </c>
      <c r="I53" s="6">
        <v>5106950.0</v>
      </c>
      <c r="J53" s="6">
        <v>1.05330113E8</v>
      </c>
      <c r="K53" s="4">
        <f t="shared" si="16"/>
        <v>-100223163</v>
      </c>
      <c r="L53" s="4">
        <f>I53+Feb!L53</f>
        <v>14275627</v>
      </c>
      <c r="M53" s="4">
        <f>J53+Feb!M53</f>
        <v>248701027</v>
      </c>
      <c r="N53" s="4">
        <f t="shared" si="17"/>
        <v>-234425400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 t="shared" si="18"/>
        <v>37</v>
      </c>
      <c r="C54" s="3" t="s">
        <v>62</v>
      </c>
      <c r="D54" s="6">
        <v>4.18639479E8</v>
      </c>
      <c r="E54" s="4">
        <v>4052513.0</v>
      </c>
      <c r="F54" s="6">
        <f t="shared" si="15"/>
        <v>414586966</v>
      </c>
      <c r="G54" s="6">
        <v>2.15441871E8</v>
      </c>
      <c r="H54" s="28">
        <v>5003.0</v>
      </c>
      <c r="I54" s="6">
        <v>0.0</v>
      </c>
      <c r="J54" s="6">
        <v>7306699.0</v>
      </c>
      <c r="K54" s="4">
        <f t="shared" si="16"/>
        <v>-7306699</v>
      </c>
      <c r="L54" s="4">
        <f>I54+Feb!L54</f>
        <v>0</v>
      </c>
      <c r="M54" s="4">
        <f>J54+Feb!M54</f>
        <v>29175358</v>
      </c>
      <c r="N54" s="4">
        <f t="shared" si="17"/>
        <v>-29175358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20" t="s">
        <v>40</v>
      </c>
      <c r="B55" s="2"/>
      <c r="C55" s="3"/>
      <c r="D55" s="6"/>
      <c r="E55" s="4"/>
      <c r="F55" s="6"/>
      <c r="G55" s="6"/>
      <c r="H55" s="28"/>
      <c r="I55" s="6"/>
      <c r="J55" s="6"/>
      <c r="K55" s="4"/>
      <c r="L55" s="4"/>
      <c r="M55" s="4"/>
      <c r="N55" s="4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20"/>
      <c r="B56" s="2">
        <f>1+B54</f>
        <v>38</v>
      </c>
      <c r="C56" s="3" t="s">
        <v>125</v>
      </c>
      <c r="D56" s="6">
        <v>1.037300552E9</v>
      </c>
      <c r="E56" s="4">
        <v>4974741.0</v>
      </c>
      <c r="F56" s="6">
        <f t="shared" ref="F56:F59" si="19">D56-E56</f>
        <v>1032325811</v>
      </c>
      <c r="G56" s="6">
        <v>6.655449E7</v>
      </c>
      <c r="H56" s="28">
        <v>27586.0</v>
      </c>
      <c r="I56" s="6">
        <v>3.91864139999E7</v>
      </c>
      <c r="J56" s="6">
        <v>1.1569434E7</v>
      </c>
      <c r="K56" s="4">
        <f t="shared" ref="K56:K59" si="20">I56-J56</f>
        <v>27616980</v>
      </c>
      <c r="L56" s="4">
        <f>I56+Feb!L56</f>
        <v>113212909</v>
      </c>
      <c r="M56" s="4">
        <f>J56+Feb!M56</f>
        <v>26391427</v>
      </c>
      <c r="N56" s="4">
        <f t="shared" ref="N56:N59" si="21">L56-M56</f>
        <v>86821482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3"/>
      <c r="B57" s="2">
        <f t="shared" ref="B57:B59" si="22">1+B56</f>
        <v>39</v>
      </c>
      <c r="C57" s="3" t="s">
        <v>64</v>
      </c>
      <c r="D57" s="6">
        <v>6.6864076E7</v>
      </c>
      <c r="E57" s="4">
        <v>353172.0</v>
      </c>
      <c r="F57" s="6">
        <f t="shared" si="19"/>
        <v>66510904</v>
      </c>
      <c r="G57" s="6">
        <v>1.0045079E7</v>
      </c>
      <c r="H57" s="28">
        <v>1279.0</v>
      </c>
      <c r="I57" s="6">
        <v>41500.0</v>
      </c>
      <c r="J57" s="6">
        <v>220477.0</v>
      </c>
      <c r="K57" s="4">
        <f t="shared" si="20"/>
        <v>-178977</v>
      </c>
      <c r="L57" s="4">
        <f>I57+Feb!L57</f>
        <v>137500</v>
      </c>
      <c r="M57" s="4">
        <f>J57+Feb!M57</f>
        <v>2486909</v>
      </c>
      <c r="N57" s="4">
        <f t="shared" si="21"/>
        <v>-2349409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12.0" customHeight="1">
      <c r="A58" s="3"/>
      <c r="B58" s="2">
        <f t="shared" si="22"/>
        <v>40</v>
      </c>
      <c r="C58" s="3" t="s">
        <v>65</v>
      </c>
      <c r="D58" s="6">
        <v>5.0264099E7</v>
      </c>
      <c r="E58" s="4">
        <v>310745.0</v>
      </c>
      <c r="F58" s="6">
        <f t="shared" si="19"/>
        <v>49953354</v>
      </c>
      <c r="G58" s="6">
        <v>3.3949116E7</v>
      </c>
      <c r="H58" s="28">
        <v>520.0</v>
      </c>
      <c r="I58" s="6">
        <v>8500.0</v>
      </c>
      <c r="J58" s="6">
        <v>76668.0</v>
      </c>
      <c r="K58" s="4">
        <f t="shared" si="20"/>
        <v>-68168</v>
      </c>
      <c r="L58" s="4">
        <f>I58+Feb!L58</f>
        <v>28500</v>
      </c>
      <c r="M58" s="4">
        <f>J58+Feb!M58</f>
        <v>494374</v>
      </c>
      <c r="N58" s="4">
        <f t="shared" si="21"/>
        <v>-465874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3"/>
      <c r="B59" s="2">
        <f t="shared" si="22"/>
        <v>41</v>
      </c>
      <c r="C59" s="3" t="s">
        <v>66</v>
      </c>
      <c r="D59" s="6">
        <v>4.5181567E7</v>
      </c>
      <c r="E59" s="4">
        <v>293533.0</v>
      </c>
      <c r="F59" s="6">
        <f t="shared" si="19"/>
        <v>44888034</v>
      </c>
      <c r="G59" s="6">
        <v>3.685563E7</v>
      </c>
      <c r="H59" s="28">
        <v>257.0</v>
      </c>
      <c r="I59" s="6">
        <v>6000.0</v>
      </c>
      <c r="J59" s="6">
        <v>830980.0</v>
      </c>
      <c r="K59" s="4">
        <f t="shared" si="20"/>
        <v>-824980</v>
      </c>
      <c r="L59" s="4">
        <f>I59+Feb!L59</f>
        <v>30000</v>
      </c>
      <c r="M59" s="4">
        <f>J59+Feb!M59</f>
        <v>1343841</v>
      </c>
      <c r="N59" s="4">
        <f t="shared" si="21"/>
        <v>-1313841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4" t="s">
        <v>46</v>
      </c>
      <c r="B60" s="24"/>
      <c r="C60" s="1"/>
      <c r="D60" s="26">
        <f t="shared" ref="D60:N60" si="23">SUM(D45:D59)</f>
        <v>10097449916</v>
      </c>
      <c r="E60" s="26">
        <f t="shared" si="23"/>
        <v>119398386.9</v>
      </c>
      <c r="F60" s="26">
        <f t="shared" si="23"/>
        <v>9978051529</v>
      </c>
      <c r="G60" s="26">
        <f t="shared" si="23"/>
        <v>4494521946</v>
      </c>
      <c r="H60" s="26">
        <f t="shared" si="23"/>
        <v>113839</v>
      </c>
      <c r="I60" s="26">
        <f t="shared" si="23"/>
        <v>52437835.96</v>
      </c>
      <c r="J60" s="26">
        <f t="shared" si="23"/>
        <v>191917311.1</v>
      </c>
      <c r="K60" s="26">
        <f t="shared" si="23"/>
        <v>-139479475.2</v>
      </c>
      <c r="L60" s="26">
        <f t="shared" si="23"/>
        <v>157447966.6</v>
      </c>
      <c r="M60" s="26">
        <f t="shared" si="23"/>
        <v>450200431.4</v>
      </c>
      <c r="N60" s="26">
        <f t="shared" si="23"/>
        <v>-292752464.8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2.0" customHeight="1">
      <c r="A61" s="20" t="s">
        <v>47</v>
      </c>
      <c r="B61" s="2"/>
      <c r="C61" s="3"/>
      <c r="D61" s="6"/>
      <c r="E61" s="6"/>
      <c r="F61" s="6"/>
      <c r="G61" s="6"/>
      <c r="H61" s="32"/>
      <c r="I61" s="6"/>
      <c r="J61" s="4"/>
      <c r="K61" s="4"/>
      <c r="L61" s="4"/>
      <c r="M61" s="4"/>
      <c r="N61" s="4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20"/>
      <c r="B62" s="2">
        <f>1+B59</f>
        <v>42</v>
      </c>
      <c r="C62" s="3" t="s">
        <v>67</v>
      </c>
      <c r="D62" s="6">
        <v>7.108893522E7</v>
      </c>
      <c r="E62" s="6">
        <v>334773.12</v>
      </c>
      <c r="F62" s="6">
        <f t="shared" ref="F62:F65" si="24">D62-E62</f>
        <v>70754162.1</v>
      </c>
      <c r="G62" s="6">
        <v>0.0</v>
      </c>
      <c r="H62" s="28">
        <v>49.0</v>
      </c>
      <c r="I62" s="6">
        <v>60396.88</v>
      </c>
      <c r="J62" s="6">
        <v>0.0</v>
      </c>
      <c r="K62" s="4">
        <f t="shared" ref="K62:K65" si="25">I62-J62</f>
        <v>60396.88</v>
      </c>
      <c r="L62" s="4">
        <f>I62+Feb!L62</f>
        <v>60396.88</v>
      </c>
      <c r="M62" s="4">
        <f>J62+Feb!M62</f>
        <v>0</v>
      </c>
      <c r="N62" s="4">
        <f t="shared" ref="N62:N65" si="26">L62-M62</f>
        <v>60396.88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0"/>
      <c r="B63" s="2">
        <f t="shared" ref="B63:B65" si="27">1+B62</f>
        <v>43</v>
      </c>
      <c r="C63" s="3" t="s">
        <v>68</v>
      </c>
      <c r="D63" s="6">
        <v>3.21930121E8</v>
      </c>
      <c r="E63" s="6">
        <v>694930.0</v>
      </c>
      <c r="F63" s="6">
        <f t="shared" si="24"/>
        <v>321235191</v>
      </c>
      <c r="G63" s="6">
        <v>1305897.0</v>
      </c>
      <c r="H63" s="28">
        <v>193.0</v>
      </c>
      <c r="I63" s="6">
        <v>0.0</v>
      </c>
      <c r="J63" s="6">
        <v>6295392.0</v>
      </c>
      <c r="K63" s="4">
        <f t="shared" si="25"/>
        <v>-6295392</v>
      </c>
      <c r="L63" s="4">
        <f>I63+Feb!L63</f>
        <v>0</v>
      </c>
      <c r="M63" s="4">
        <f>J63+Feb!M63</f>
        <v>12165036</v>
      </c>
      <c r="N63" s="4">
        <f t="shared" si="26"/>
        <v>-12165036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12.0" customHeight="1">
      <c r="A64" s="3"/>
      <c r="B64" s="2">
        <f t="shared" si="27"/>
        <v>44</v>
      </c>
      <c r="C64" s="3" t="s">
        <v>69</v>
      </c>
      <c r="D64" s="6">
        <v>1.667235194E9</v>
      </c>
      <c r="E64" s="6">
        <v>5340671.0</v>
      </c>
      <c r="F64" s="6">
        <f t="shared" si="24"/>
        <v>1661894523</v>
      </c>
      <c r="G64" s="6">
        <v>0.0</v>
      </c>
      <c r="H64" s="28">
        <v>4360.0</v>
      </c>
      <c r="I64" s="6">
        <v>2588961.0</v>
      </c>
      <c r="J64" s="6">
        <v>2.6823646E7</v>
      </c>
      <c r="K64" s="4">
        <f t="shared" si="25"/>
        <v>-24234685</v>
      </c>
      <c r="L64" s="4">
        <f>I64+Feb!L64</f>
        <v>11628286</v>
      </c>
      <c r="M64" s="4">
        <f>J64+Feb!M64</f>
        <v>129292405</v>
      </c>
      <c r="N64" s="4">
        <f t="shared" si="26"/>
        <v>-117664119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12.0" customHeight="1">
      <c r="A65" s="3"/>
      <c r="B65" s="2">
        <f t="shared" si="27"/>
        <v>45</v>
      </c>
      <c r="C65" s="3" t="s">
        <v>70</v>
      </c>
      <c r="D65" s="6">
        <v>2.15145205E8</v>
      </c>
      <c r="E65" s="6">
        <v>8847936.0</v>
      </c>
      <c r="F65" s="6">
        <f t="shared" si="24"/>
        <v>206297269</v>
      </c>
      <c r="G65" s="6">
        <v>0.0</v>
      </c>
      <c r="H65" s="28">
        <v>783.0</v>
      </c>
      <c r="I65" s="6">
        <v>167785.0</v>
      </c>
      <c r="J65" s="6">
        <v>4381350.0</v>
      </c>
      <c r="K65" s="4">
        <f t="shared" si="25"/>
        <v>-4213565</v>
      </c>
      <c r="L65" s="4">
        <f>I65+Feb!L65</f>
        <v>433504</v>
      </c>
      <c r="M65" s="4">
        <f>J65+Feb!M65</f>
        <v>15352450</v>
      </c>
      <c r="N65" s="4">
        <f t="shared" si="26"/>
        <v>-14918946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4" t="s">
        <v>50</v>
      </c>
      <c r="B66" s="25"/>
      <c r="C66" s="1"/>
      <c r="D66" s="26">
        <f t="shared" ref="D66:N66" si="28">SUM(D62:D65)</f>
        <v>2275399455</v>
      </c>
      <c r="E66" s="26">
        <f t="shared" si="28"/>
        <v>15218310.12</v>
      </c>
      <c r="F66" s="26">
        <f t="shared" si="28"/>
        <v>2260181145</v>
      </c>
      <c r="G66" s="26">
        <f t="shared" si="28"/>
        <v>1305897</v>
      </c>
      <c r="H66" s="27">
        <f t="shared" si="28"/>
        <v>5385</v>
      </c>
      <c r="I66" s="26">
        <f t="shared" si="28"/>
        <v>2817142.88</v>
      </c>
      <c r="J66" s="26">
        <f t="shared" si="28"/>
        <v>37500388</v>
      </c>
      <c r="K66" s="26">
        <f t="shared" si="28"/>
        <v>-34683245.12</v>
      </c>
      <c r="L66" s="26">
        <f t="shared" si="28"/>
        <v>12122186.88</v>
      </c>
      <c r="M66" s="26">
        <f t="shared" si="28"/>
        <v>156809891</v>
      </c>
      <c r="N66" s="26">
        <f t="shared" si="28"/>
        <v>-144687704.1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2.0" customHeight="1">
      <c r="A67" s="1" t="s">
        <v>71</v>
      </c>
      <c r="B67" s="25"/>
      <c r="C67" s="1"/>
      <c r="D67" s="26">
        <f t="shared" ref="D67:N67" si="29">D60+D66</f>
        <v>12372849371</v>
      </c>
      <c r="E67" s="26">
        <f t="shared" si="29"/>
        <v>134616697</v>
      </c>
      <c r="F67" s="26">
        <f t="shared" si="29"/>
        <v>12238232674</v>
      </c>
      <c r="G67" s="26">
        <f t="shared" si="29"/>
        <v>4495827843</v>
      </c>
      <c r="H67" s="27">
        <f t="shared" si="29"/>
        <v>119224</v>
      </c>
      <c r="I67" s="26">
        <f t="shared" si="29"/>
        <v>55254978.84</v>
      </c>
      <c r="J67" s="26">
        <f t="shared" si="29"/>
        <v>229417699.1</v>
      </c>
      <c r="K67" s="26">
        <f t="shared" si="29"/>
        <v>-174162720.3</v>
      </c>
      <c r="L67" s="26">
        <f t="shared" si="29"/>
        <v>169570153.5</v>
      </c>
      <c r="M67" s="26">
        <f t="shared" si="29"/>
        <v>607010322.4</v>
      </c>
      <c r="N67" s="26">
        <f t="shared" si="29"/>
        <v>-437440168.9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2.0" customHeight="1">
      <c r="A68" s="1" t="s">
        <v>72</v>
      </c>
      <c r="B68" s="2"/>
      <c r="C68" s="3"/>
      <c r="D68" s="6"/>
      <c r="E68" s="6"/>
      <c r="F68" s="6"/>
      <c r="G68" s="6"/>
      <c r="H68" s="28"/>
      <c r="I68" s="6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20" t="s">
        <v>20</v>
      </c>
      <c r="B69" s="2"/>
      <c r="C69" s="3"/>
      <c r="D69" s="6"/>
      <c r="E69" s="6"/>
      <c r="F69" s="6"/>
      <c r="G69" s="6"/>
      <c r="H69" s="32"/>
      <c r="I69" s="6"/>
      <c r="J69" s="4"/>
      <c r="K69" s="4"/>
      <c r="L69" s="4"/>
      <c r="M69" s="4"/>
      <c r="N69" s="4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3"/>
      <c r="B70" s="2">
        <f>1+B65</f>
        <v>46</v>
      </c>
      <c r="C70" s="3" t="s">
        <v>73</v>
      </c>
      <c r="D70" s="6">
        <v>3.442963424E10</v>
      </c>
      <c r="E70" s="6">
        <v>1.20516375E8</v>
      </c>
      <c r="F70" s="6">
        <f t="shared" ref="F70:F80" si="30">D70-E70</f>
        <v>34309117865</v>
      </c>
      <c r="G70" s="6">
        <v>3.6725E8</v>
      </c>
      <c r="H70" s="28">
        <v>24515.0</v>
      </c>
      <c r="I70" s="6">
        <v>1.86873605E8</v>
      </c>
      <c r="J70" s="6">
        <v>4.43826204E8</v>
      </c>
      <c r="K70" s="4">
        <f t="shared" ref="K70:K80" si="31">I70-J70</f>
        <v>-256952599</v>
      </c>
      <c r="L70" s="4">
        <f>I70+Feb!L70</f>
        <v>619041703</v>
      </c>
      <c r="M70" s="4">
        <f>J70+Feb!M70</f>
        <v>1003571948</v>
      </c>
      <c r="N70" s="4">
        <f t="shared" ref="N70:N80" si="32">L70-M70</f>
        <v>-384530245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ref="B71:B80" si="33">1+B70</f>
        <v>47</v>
      </c>
      <c r="C71" s="3" t="s">
        <v>74</v>
      </c>
      <c r="D71" s="6">
        <v>2.2832873965E8</v>
      </c>
      <c r="E71" s="6">
        <v>1315751.54</v>
      </c>
      <c r="F71" s="6">
        <f t="shared" si="30"/>
        <v>227012988.1</v>
      </c>
      <c r="G71" s="6">
        <v>0.0</v>
      </c>
      <c r="H71" s="28">
        <v>870.0</v>
      </c>
      <c r="I71" s="6">
        <v>52908.49</v>
      </c>
      <c r="J71" s="6">
        <v>1572139.29</v>
      </c>
      <c r="K71" s="4">
        <f t="shared" si="31"/>
        <v>-1519230.8</v>
      </c>
      <c r="L71" s="4">
        <f>I71+Feb!L71</f>
        <v>737967.1</v>
      </c>
      <c r="M71" s="4">
        <f>J71+Feb!M71</f>
        <v>17072676.79</v>
      </c>
      <c r="N71" s="4">
        <f t="shared" si="32"/>
        <v>-16334709.69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48</v>
      </c>
      <c r="C72" s="3" t="s">
        <v>75</v>
      </c>
      <c r="D72" s="6">
        <v>8.984995126E8</v>
      </c>
      <c r="E72" s="6">
        <v>8862129.56</v>
      </c>
      <c r="F72" s="6">
        <f t="shared" si="30"/>
        <v>889637383</v>
      </c>
      <c r="G72" s="6">
        <v>0.0</v>
      </c>
      <c r="H72" s="28">
        <v>1755.0</v>
      </c>
      <c r="I72" s="6">
        <v>800316.37</v>
      </c>
      <c r="J72" s="6">
        <v>1.064282697E7</v>
      </c>
      <c r="K72" s="4">
        <f t="shared" si="31"/>
        <v>-9842510.6</v>
      </c>
      <c r="L72" s="4">
        <f>I72+Feb!L72</f>
        <v>10176925.45</v>
      </c>
      <c r="M72" s="4">
        <f>J72+Feb!M72</f>
        <v>35383325.9</v>
      </c>
      <c r="N72" s="4">
        <f t="shared" si="32"/>
        <v>-25206400.45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1"/>
      <c r="B73" s="2">
        <f t="shared" si="33"/>
        <v>49</v>
      </c>
      <c r="C73" s="3" t="s">
        <v>76</v>
      </c>
      <c r="D73" s="6">
        <v>1.69895603E8</v>
      </c>
      <c r="E73" s="6">
        <v>370866.0</v>
      </c>
      <c r="F73" s="6">
        <f t="shared" si="30"/>
        <v>169524737</v>
      </c>
      <c r="G73" s="6">
        <v>0.0</v>
      </c>
      <c r="H73" s="28">
        <v>125.0</v>
      </c>
      <c r="I73" s="6">
        <v>0.0</v>
      </c>
      <c r="J73" s="6">
        <v>314842.0</v>
      </c>
      <c r="K73" s="4">
        <f t="shared" si="31"/>
        <v>-314842</v>
      </c>
      <c r="L73" s="4">
        <f>I73+Feb!L73</f>
        <v>0</v>
      </c>
      <c r="M73" s="4">
        <f>J73+Feb!M73</f>
        <v>433089</v>
      </c>
      <c r="N73" s="4">
        <f t="shared" si="32"/>
        <v>-433089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50</v>
      </c>
      <c r="C74" s="3" t="s">
        <v>77</v>
      </c>
      <c r="D74" s="6">
        <v>7.01272026E8</v>
      </c>
      <c r="E74" s="6">
        <v>3759562.0</v>
      </c>
      <c r="F74" s="6">
        <f t="shared" si="30"/>
        <v>697512464</v>
      </c>
      <c r="G74" s="6">
        <v>0.0</v>
      </c>
      <c r="H74" s="28">
        <v>1634.0</v>
      </c>
      <c r="I74" s="6">
        <v>2570883.0</v>
      </c>
      <c r="J74" s="6">
        <v>3904738.0</v>
      </c>
      <c r="K74" s="4">
        <f t="shared" si="31"/>
        <v>-1333855</v>
      </c>
      <c r="L74" s="4">
        <f>I74+Feb!L74</f>
        <v>5126285</v>
      </c>
      <c r="M74" s="4">
        <f>J74+Feb!M74</f>
        <v>38717573</v>
      </c>
      <c r="N74" s="4">
        <f t="shared" si="32"/>
        <v>-33591288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51</v>
      </c>
      <c r="C75" s="3" t="s">
        <v>78</v>
      </c>
      <c r="D75" s="6">
        <v>1.292782424E9</v>
      </c>
      <c r="E75" s="6">
        <v>3.1157105E7</v>
      </c>
      <c r="F75" s="6">
        <f t="shared" si="30"/>
        <v>1261625319</v>
      </c>
      <c r="G75" s="6">
        <v>0.0</v>
      </c>
      <c r="H75" s="28">
        <v>4297.0</v>
      </c>
      <c r="I75" s="6">
        <v>2266949.0</v>
      </c>
      <c r="J75" s="6">
        <v>1.3718967E7</v>
      </c>
      <c r="K75" s="4">
        <f t="shared" si="31"/>
        <v>-11452018</v>
      </c>
      <c r="L75" s="4">
        <f>I75+Feb!L75</f>
        <v>5639169</v>
      </c>
      <c r="M75" s="4">
        <f>J75+Feb!M75</f>
        <v>33712953</v>
      </c>
      <c r="N75" s="4">
        <f t="shared" si="32"/>
        <v>-28073784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52</v>
      </c>
      <c r="C76" s="3" t="s">
        <v>79</v>
      </c>
      <c r="D76" s="6">
        <v>4.82050735E8</v>
      </c>
      <c r="E76" s="6">
        <v>9931278.0</v>
      </c>
      <c r="F76" s="6">
        <f t="shared" si="30"/>
        <v>472119457</v>
      </c>
      <c r="G76" s="6">
        <v>0.0</v>
      </c>
      <c r="H76" s="28">
        <v>359.0</v>
      </c>
      <c r="I76" s="6">
        <v>0.0</v>
      </c>
      <c r="J76" s="6">
        <v>8462085.0</v>
      </c>
      <c r="K76" s="4">
        <f t="shared" si="31"/>
        <v>-8462085</v>
      </c>
      <c r="L76" s="4">
        <f>I76+Feb!L76</f>
        <v>0</v>
      </c>
      <c r="M76" s="4">
        <f>J76+Feb!M76</f>
        <v>10881908</v>
      </c>
      <c r="N76" s="4">
        <f t="shared" si="32"/>
        <v>-10881908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53</v>
      </c>
      <c r="C77" s="3" t="s">
        <v>80</v>
      </c>
      <c r="D77" s="6">
        <v>3.2460198467E8</v>
      </c>
      <c r="E77" s="6">
        <v>1593541.48</v>
      </c>
      <c r="F77" s="6">
        <f t="shared" si="30"/>
        <v>323008443.2</v>
      </c>
      <c r="G77" s="6">
        <v>0.0</v>
      </c>
      <c r="H77" s="28">
        <v>3984.0</v>
      </c>
      <c r="I77" s="6">
        <v>4.02802704E7</v>
      </c>
      <c r="J77" s="6">
        <v>766967.46</v>
      </c>
      <c r="K77" s="4">
        <f t="shared" si="31"/>
        <v>39513302.94</v>
      </c>
      <c r="L77" s="4">
        <f>I77+Feb!L77</f>
        <v>45737512.37</v>
      </c>
      <c r="M77" s="4">
        <f>J77+Feb!M77</f>
        <v>2807250.05</v>
      </c>
      <c r="N77" s="4">
        <f t="shared" si="32"/>
        <v>42930262.32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3"/>
      <c r="B78" s="2">
        <f t="shared" si="33"/>
        <v>54</v>
      </c>
      <c r="C78" s="3" t="s">
        <v>81</v>
      </c>
      <c r="D78" s="6">
        <v>2.11449630115E9</v>
      </c>
      <c r="E78" s="6">
        <v>3644094.17</v>
      </c>
      <c r="F78" s="6">
        <f t="shared" si="30"/>
        <v>2110852207</v>
      </c>
      <c r="G78" s="6">
        <v>0.0</v>
      </c>
      <c r="H78" s="28">
        <v>747.0</v>
      </c>
      <c r="I78" s="6">
        <v>1.0001019316E8</v>
      </c>
      <c r="J78" s="6">
        <v>2290437.54</v>
      </c>
      <c r="K78" s="4">
        <f t="shared" si="31"/>
        <v>97719755.62</v>
      </c>
      <c r="L78" s="4">
        <f>I78+Feb!L78</f>
        <v>201099384.3</v>
      </c>
      <c r="M78" s="4">
        <f>J78+Feb!M78</f>
        <v>6561963.04</v>
      </c>
      <c r="N78" s="4">
        <f t="shared" si="32"/>
        <v>194537421.3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 t="shared" si="33"/>
        <v>55</v>
      </c>
      <c r="C79" s="3" t="s">
        <v>82</v>
      </c>
      <c r="D79" s="6">
        <v>6.062012283E9</v>
      </c>
      <c r="E79" s="6">
        <v>6.1648875E7</v>
      </c>
      <c r="F79" s="6">
        <f t="shared" si="30"/>
        <v>6000363408</v>
      </c>
      <c r="G79" s="6">
        <v>0.0</v>
      </c>
      <c r="H79" s="28">
        <v>19983.0</v>
      </c>
      <c r="I79" s="6">
        <v>5.6990537E7</v>
      </c>
      <c r="J79" s="6">
        <v>1.69860257E8</v>
      </c>
      <c r="K79" s="4">
        <f t="shared" si="31"/>
        <v>-112869720</v>
      </c>
      <c r="L79" s="4">
        <f>I79+Feb!L79</f>
        <v>158533229</v>
      </c>
      <c r="M79" s="4">
        <f>J79+Feb!M79</f>
        <v>419437768</v>
      </c>
      <c r="N79" s="4">
        <f t="shared" si="32"/>
        <v>-260904539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3"/>
      <c r="B80" s="2">
        <f t="shared" si="33"/>
        <v>56</v>
      </c>
      <c r="C80" s="3" t="s">
        <v>83</v>
      </c>
      <c r="D80" s="6">
        <v>1.3813964E8</v>
      </c>
      <c r="E80" s="6">
        <v>454850.0</v>
      </c>
      <c r="F80" s="6">
        <f t="shared" si="30"/>
        <v>137684790</v>
      </c>
      <c r="G80" s="6">
        <v>0.0</v>
      </c>
      <c r="H80" s="28">
        <v>2966.0</v>
      </c>
      <c r="I80" s="6">
        <v>229693.0</v>
      </c>
      <c r="J80" s="6">
        <v>1287016.0</v>
      </c>
      <c r="K80" s="4">
        <f t="shared" si="31"/>
        <v>-1057323</v>
      </c>
      <c r="L80" s="4">
        <f>I80+Feb!L80</f>
        <v>979330</v>
      </c>
      <c r="M80" s="4">
        <f>J80+Feb!M80</f>
        <v>3254245</v>
      </c>
      <c r="N80" s="4">
        <f t="shared" si="32"/>
        <v>-2274915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0" t="s">
        <v>84</v>
      </c>
      <c r="B81" s="2"/>
      <c r="C81" s="3"/>
      <c r="D81" s="6"/>
      <c r="E81" s="6"/>
      <c r="F81" s="6"/>
      <c r="G81" s="6"/>
      <c r="H81" s="28"/>
      <c r="I81" s="6"/>
      <c r="J81" s="6"/>
      <c r="K81" s="4"/>
      <c r="L81" s="4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1+B80</f>
        <v>57</v>
      </c>
      <c r="C82" s="3" t="s">
        <v>126</v>
      </c>
      <c r="D82" s="6">
        <v>0.0</v>
      </c>
      <c r="E82" s="6">
        <v>0.0</v>
      </c>
      <c r="F82" s="6">
        <f>D82-E82</f>
        <v>0</v>
      </c>
      <c r="G82" s="6">
        <v>0.0</v>
      </c>
      <c r="H82" s="28">
        <v>0.0</v>
      </c>
      <c r="I82" s="6">
        <v>0.0</v>
      </c>
      <c r="J82" s="6">
        <v>0.0</v>
      </c>
      <c r="K82" s="4">
        <f>I82-J82</f>
        <v>0</v>
      </c>
      <c r="L82" s="4">
        <f>I82+Feb!L82</f>
        <v>0</v>
      </c>
      <c r="M82" s="4">
        <f>J82+Feb!M82</f>
        <v>0</v>
      </c>
      <c r="N82" s="4">
        <f>L82-M82</f>
        <v>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24" t="s">
        <v>46</v>
      </c>
      <c r="B83" s="1"/>
      <c r="C83" s="1"/>
      <c r="D83" s="26">
        <f t="shared" ref="D83:N83" si="34">SUM(D70:D82)</f>
        <v>46841713489</v>
      </c>
      <c r="E83" s="26">
        <f t="shared" si="34"/>
        <v>243254427.8</v>
      </c>
      <c r="F83" s="26">
        <f t="shared" si="34"/>
        <v>46598459061</v>
      </c>
      <c r="G83" s="26">
        <f t="shared" si="34"/>
        <v>367250000</v>
      </c>
      <c r="H83" s="26">
        <f t="shared" si="34"/>
        <v>61235</v>
      </c>
      <c r="I83" s="26">
        <f t="shared" si="34"/>
        <v>390075355.4</v>
      </c>
      <c r="J83" s="26">
        <f t="shared" si="34"/>
        <v>656646480.3</v>
      </c>
      <c r="K83" s="26">
        <f t="shared" si="34"/>
        <v>-266571124.8</v>
      </c>
      <c r="L83" s="26">
        <f t="shared" si="34"/>
        <v>1047071505</v>
      </c>
      <c r="M83" s="26">
        <f t="shared" si="34"/>
        <v>1571834700</v>
      </c>
      <c r="N83" s="26">
        <f t="shared" si="34"/>
        <v>-524763194.5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20" t="s">
        <v>47</v>
      </c>
      <c r="B84" s="2"/>
      <c r="C84" s="3"/>
      <c r="D84" s="6"/>
      <c r="E84" s="6"/>
      <c r="F84" s="6"/>
      <c r="G84" s="6"/>
      <c r="H84" s="28"/>
      <c r="I84" s="6"/>
      <c r="J84" s="6"/>
      <c r="K84" s="6"/>
      <c r="L84" s="6"/>
      <c r="M84" s="4"/>
      <c r="N84" s="4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2.0" customHeight="1">
      <c r="A85" s="3"/>
      <c r="B85" s="2">
        <f>B82+1</f>
        <v>58</v>
      </c>
      <c r="C85" s="3" t="s">
        <v>86</v>
      </c>
      <c r="D85" s="6">
        <v>1.2245951492E10</v>
      </c>
      <c r="E85" s="6">
        <v>6.34781427E8</v>
      </c>
      <c r="F85" s="6">
        <f t="shared" ref="F85:F91" si="35">D85-E85</f>
        <v>11611170065</v>
      </c>
      <c r="G85" s="6">
        <v>0.0</v>
      </c>
      <c r="H85" s="28">
        <v>6717.0</v>
      </c>
      <c r="I85" s="6">
        <v>2.4809481E7</v>
      </c>
      <c r="J85" s="6">
        <v>1.74615106E8</v>
      </c>
      <c r="K85" s="4">
        <f t="shared" ref="K85:K91" si="36">I85-J85</f>
        <v>-149805625</v>
      </c>
      <c r="L85" s="4">
        <f>I85+Feb!L85</f>
        <v>147431251</v>
      </c>
      <c r="M85" s="4">
        <f>J85+Feb!M85</f>
        <v>396902625</v>
      </c>
      <c r="N85" s="4">
        <f t="shared" ref="N85:N91" si="37">L85-M85</f>
        <v>-249471374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ref="B86:B91" si="38">1+B85</f>
        <v>59</v>
      </c>
      <c r="C86" s="3" t="s">
        <v>87</v>
      </c>
      <c r="D86" s="6">
        <v>5.148197574E7</v>
      </c>
      <c r="E86" s="6">
        <v>2306422.35</v>
      </c>
      <c r="F86" s="6">
        <f t="shared" si="35"/>
        <v>49175553.39</v>
      </c>
      <c r="G86" s="6">
        <v>0.0</v>
      </c>
      <c r="H86" s="28">
        <v>21.0</v>
      </c>
      <c r="I86" s="6">
        <v>0.0</v>
      </c>
      <c r="J86" s="6">
        <v>63517.5</v>
      </c>
      <c r="K86" s="4">
        <f t="shared" si="36"/>
        <v>-63517.5</v>
      </c>
      <c r="L86" s="4">
        <f>I86+Feb!L86</f>
        <v>0</v>
      </c>
      <c r="M86" s="4">
        <f>J86+Feb!M86</f>
        <v>63517.5</v>
      </c>
      <c r="N86" s="4">
        <f t="shared" si="37"/>
        <v>-63517.5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60</v>
      </c>
      <c r="C87" s="3" t="s">
        <v>88</v>
      </c>
      <c r="D87" s="6">
        <v>3.20832737E8</v>
      </c>
      <c r="E87" s="6">
        <v>981964.0</v>
      </c>
      <c r="F87" s="6">
        <f t="shared" si="35"/>
        <v>319850773</v>
      </c>
      <c r="G87" s="6">
        <v>0.0</v>
      </c>
      <c r="H87" s="28">
        <v>138.0</v>
      </c>
      <c r="I87" s="6">
        <v>26135.0</v>
      </c>
      <c r="J87" s="6">
        <v>2048060.0</v>
      </c>
      <c r="K87" s="4">
        <f t="shared" si="36"/>
        <v>-2021925</v>
      </c>
      <c r="L87" s="4">
        <f>I87+Feb!L87</f>
        <v>896042</v>
      </c>
      <c r="M87" s="4">
        <f>J87+Feb!M87</f>
        <v>10182667</v>
      </c>
      <c r="N87" s="4">
        <f t="shared" si="37"/>
        <v>-9286625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1.25" customHeight="1">
      <c r="A88" s="20"/>
      <c r="B88" s="2">
        <f t="shared" si="38"/>
        <v>61</v>
      </c>
      <c r="C88" s="3" t="s">
        <v>89</v>
      </c>
      <c r="D88" s="6">
        <v>8.987062E7</v>
      </c>
      <c r="E88" s="6">
        <v>2.5490236E7</v>
      </c>
      <c r="F88" s="6">
        <f t="shared" si="35"/>
        <v>64380384</v>
      </c>
      <c r="G88" s="6">
        <v>0.0</v>
      </c>
      <c r="H88" s="28">
        <v>23.0</v>
      </c>
      <c r="I88" s="6">
        <v>0.0</v>
      </c>
      <c r="J88" s="6">
        <v>0.0</v>
      </c>
      <c r="K88" s="4">
        <f t="shared" si="36"/>
        <v>0</v>
      </c>
      <c r="L88" s="4">
        <f>I88+Feb!L88</f>
        <v>0</v>
      </c>
      <c r="M88" s="4">
        <f>J88+Feb!M88</f>
        <v>0</v>
      </c>
      <c r="N88" s="4">
        <f t="shared" si="37"/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3"/>
      <c r="B89" s="2">
        <f t="shared" si="38"/>
        <v>62</v>
      </c>
      <c r="C89" s="3" t="s">
        <v>90</v>
      </c>
      <c r="D89" s="6">
        <v>1.62951654E9</v>
      </c>
      <c r="E89" s="6">
        <v>7.2565048E7</v>
      </c>
      <c r="F89" s="6">
        <f t="shared" si="35"/>
        <v>1556951492</v>
      </c>
      <c r="G89" s="6">
        <v>0.0</v>
      </c>
      <c r="H89" s="28">
        <v>1414.0</v>
      </c>
      <c r="I89" s="6">
        <v>43729.0</v>
      </c>
      <c r="J89" s="6">
        <v>3.583063E7</v>
      </c>
      <c r="K89" s="4">
        <f t="shared" si="36"/>
        <v>-35786901</v>
      </c>
      <c r="L89" s="4">
        <f>I89+Feb!L89</f>
        <v>121153</v>
      </c>
      <c r="M89" s="4">
        <f>J89+Feb!M89</f>
        <v>51772613</v>
      </c>
      <c r="N89" s="4">
        <f t="shared" si="37"/>
        <v>-51651460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 t="shared" si="38"/>
        <v>63</v>
      </c>
      <c r="C90" s="43" t="s">
        <v>91</v>
      </c>
      <c r="D90" s="45" t="str">
        <f>VLOOKUP(C90,'[1]March 2026'!$A:$H,2,FALSE)</f>
        <v>#REF!</v>
      </c>
      <c r="E90" s="45" t="str">
        <f>VLOOKUP(C90,'[1]March 2026'!$A:$H,3,FALSE)</f>
        <v>#REF!</v>
      </c>
      <c r="F90" s="45" t="str">
        <f t="shared" si="35"/>
        <v>#REF!</v>
      </c>
      <c r="G90" s="45" t="str">
        <f>VLOOKUP(C90,'[1]March 2026'!$A:$H,5,FALSE)</f>
        <v>#REF!</v>
      </c>
      <c r="H90" s="47" t="str">
        <f>VLOOKUP(C90,'[1]March 2026'!$A:$H,6,FALSE)</f>
        <v>#REF!</v>
      </c>
      <c r="I90" s="45" t="str">
        <f>VLOOKUP(C90,'[1]March 2026'!$A:$H,7,FALSE)</f>
        <v>#REF!</v>
      </c>
      <c r="J90" s="45" t="str">
        <f>VLOOKUP(C90,'[1]March 2026'!$A:$H,8,FALSE)</f>
        <v>#REF!</v>
      </c>
      <c r="K90" s="46" t="str">
        <f t="shared" si="36"/>
        <v>#REF!</v>
      </c>
      <c r="L90" s="46" t="str">
        <f>I90+'Feb UPDATED'!L90</f>
        <v>#REF!</v>
      </c>
      <c r="M90" s="46" t="str">
        <f>J90+'Feb UPDATED'!M90</f>
        <v>#REF!</v>
      </c>
      <c r="N90" s="46" t="str">
        <f t="shared" si="37"/>
        <v>#REF!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3"/>
      <c r="B91" s="2">
        <f t="shared" si="38"/>
        <v>64</v>
      </c>
      <c r="C91" s="3" t="s">
        <v>92</v>
      </c>
      <c r="D91" s="6">
        <v>3.97754489E8</v>
      </c>
      <c r="E91" s="6">
        <v>2890736.0</v>
      </c>
      <c r="F91" s="6">
        <f t="shared" si="35"/>
        <v>394863753</v>
      </c>
      <c r="G91" s="6">
        <v>0.0</v>
      </c>
      <c r="H91" s="28">
        <v>2664.0</v>
      </c>
      <c r="I91" s="6">
        <v>1.0481686E7</v>
      </c>
      <c r="J91" s="6">
        <v>2.0986708E7</v>
      </c>
      <c r="K91" s="4">
        <f t="shared" si="36"/>
        <v>-10505022</v>
      </c>
      <c r="L91" s="4">
        <f>I91+Feb!L91</f>
        <v>12917391</v>
      </c>
      <c r="M91" s="4">
        <f>J91+Feb!M91</f>
        <v>74824417</v>
      </c>
      <c r="N91" s="4">
        <f t="shared" si="37"/>
        <v>-61907026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24" t="s">
        <v>93</v>
      </c>
      <c r="B92" s="25"/>
      <c r="C92" s="33"/>
      <c r="D92" s="26" t="str">
        <f t="shared" ref="D92:N92" si="39">SUM(D85:D91)</f>
        <v>#REF!</v>
      </c>
      <c r="E92" s="26" t="str">
        <f t="shared" si="39"/>
        <v>#REF!</v>
      </c>
      <c r="F92" s="26" t="str">
        <f t="shared" si="39"/>
        <v>#REF!</v>
      </c>
      <c r="G92" s="48" t="str">
        <f t="shared" si="39"/>
        <v>#REF!</v>
      </c>
      <c r="H92" s="26" t="str">
        <f t="shared" si="39"/>
        <v>#REF!</v>
      </c>
      <c r="I92" s="26" t="str">
        <f t="shared" si="39"/>
        <v>#REF!</v>
      </c>
      <c r="J92" s="26" t="str">
        <f t="shared" si="39"/>
        <v>#REF!</v>
      </c>
      <c r="K92" s="26" t="str">
        <f t="shared" si="39"/>
        <v>#REF!</v>
      </c>
      <c r="L92" s="26" t="str">
        <f t="shared" si="39"/>
        <v>#REF!</v>
      </c>
      <c r="M92" s="26" t="str">
        <f t="shared" si="39"/>
        <v>#REF!</v>
      </c>
      <c r="N92" s="26" t="str">
        <f t="shared" si="39"/>
        <v>#REF!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3"/>
      <c r="B93" s="2">
        <f>1+B91</f>
        <v>65</v>
      </c>
      <c r="C93" s="3" t="s">
        <v>94</v>
      </c>
      <c r="D93" s="6">
        <v>7.26660607E8</v>
      </c>
      <c r="E93" s="6">
        <v>3.0635578E7</v>
      </c>
      <c r="F93" s="6">
        <f>D93-E93</f>
        <v>696025029</v>
      </c>
      <c r="G93" s="6">
        <v>0.0</v>
      </c>
      <c r="H93" s="28">
        <v>554.0</v>
      </c>
      <c r="I93" s="6">
        <v>295779.0</v>
      </c>
      <c r="J93" s="6">
        <v>6974118.0</v>
      </c>
      <c r="K93" s="4">
        <f>I93-J93</f>
        <v>-6678339</v>
      </c>
      <c r="L93" s="4">
        <f>I93+Feb!L93</f>
        <v>6290235</v>
      </c>
      <c r="M93" s="4">
        <f>J93+Feb!M93</f>
        <v>65546038</v>
      </c>
      <c r="N93" s="4">
        <f>L93-M93</f>
        <v>-59255803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4" t="s">
        <v>95</v>
      </c>
      <c r="B94" s="33"/>
      <c r="C94" s="1"/>
      <c r="D94" s="26">
        <f t="shared" ref="D94:N94" si="40">SUM(D93)</f>
        <v>726660607</v>
      </c>
      <c r="E94" s="26">
        <f t="shared" si="40"/>
        <v>30635578</v>
      </c>
      <c r="F94" s="26">
        <f t="shared" si="40"/>
        <v>696025029</v>
      </c>
      <c r="G94" s="26">
        <f t="shared" si="40"/>
        <v>0</v>
      </c>
      <c r="H94" s="29">
        <f t="shared" si="40"/>
        <v>554</v>
      </c>
      <c r="I94" s="26">
        <f t="shared" si="40"/>
        <v>295779</v>
      </c>
      <c r="J94" s="26">
        <f t="shared" si="40"/>
        <v>6974118</v>
      </c>
      <c r="K94" s="26">
        <f t="shared" si="40"/>
        <v>-6678339</v>
      </c>
      <c r="L94" s="26">
        <f t="shared" si="40"/>
        <v>6290235</v>
      </c>
      <c r="M94" s="26">
        <f t="shared" si="40"/>
        <v>65546038</v>
      </c>
      <c r="N94" s="26">
        <f t="shared" si="40"/>
        <v>-59255803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1" t="s">
        <v>96</v>
      </c>
      <c r="B95" s="25"/>
      <c r="C95" s="33"/>
      <c r="D95" s="26" t="str">
        <f t="shared" ref="D95:N95" si="41">D83+D92+D94</f>
        <v>#REF!</v>
      </c>
      <c r="E95" s="26" t="str">
        <f t="shared" si="41"/>
        <v>#REF!</v>
      </c>
      <c r="F95" s="26" t="str">
        <f t="shared" si="41"/>
        <v>#REF!</v>
      </c>
      <c r="G95" s="26" t="str">
        <f t="shared" si="41"/>
        <v>#REF!</v>
      </c>
      <c r="H95" s="27" t="str">
        <f t="shared" si="41"/>
        <v>#REF!</v>
      </c>
      <c r="I95" s="26" t="str">
        <f t="shared" si="41"/>
        <v>#REF!</v>
      </c>
      <c r="J95" s="26" t="str">
        <f t="shared" si="41"/>
        <v>#REF!</v>
      </c>
      <c r="K95" s="26" t="str">
        <f t="shared" si="41"/>
        <v>#REF!</v>
      </c>
      <c r="L95" s="26" t="str">
        <f t="shared" si="41"/>
        <v>#REF!</v>
      </c>
      <c r="M95" s="26" t="str">
        <f t="shared" si="41"/>
        <v>#REF!</v>
      </c>
      <c r="N95" s="26" t="str">
        <f t="shared" si="41"/>
        <v>#REF!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1" t="s">
        <v>97</v>
      </c>
      <c r="B96" s="2"/>
      <c r="C96" s="34"/>
      <c r="D96" s="6"/>
      <c r="E96" s="6"/>
      <c r="F96" s="6"/>
      <c r="G96" s="6"/>
      <c r="H96" s="28"/>
      <c r="I96" s="6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0" t="s">
        <v>20</v>
      </c>
      <c r="B97" s="2"/>
      <c r="C97" s="34"/>
      <c r="D97" s="6"/>
      <c r="E97" s="6"/>
      <c r="F97" s="6"/>
      <c r="G97" s="6"/>
      <c r="H97" s="32"/>
      <c r="I97" s="6"/>
      <c r="J97" s="4"/>
      <c r="K97" s="4"/>
      <c r="L97" s="4"/>
      <c r="M97" s="4"/>
      <c r="N97" s="4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20"/>
      <c r="B98" s="2">
        <f>B93+1</f>
        <v>66</v>
      </c>
      <c r="C98" s="34" t="s">
        <v>98</v>
      </c>
      <c r="D98" s="6">
        <v>1.7666910597E8</v>
      </c>
      <c r="E98" s="6">
        <v>341071.22</v>
      </c>
      <c r="F98" s="6">
        <f t="shared" ref="F98:F101" si="42">D98-E98</f>
        <v>176328034.8</v>
      </c>
      <c r="G98" s="6">
        <v>0.0</v>
      </c>
      <c r="H98" s="28">
        <v>61.0</v>
      </c>
      <c r="I98" s="6">
        <v>40000.0</v>
      </c>
      <c r="J98" s="6">
        <v>89102.22</v>
      </c>
      <c r="K98" s="4">
        <f t="shared" ref="K98:K101" si="43">I98-J98</f>
        <v>-49102.22</v>
      </c>
      <c r="L98" s="4">
        <f>I98+Feb!L98</f>
        <v>156000</v>
      </c>
      <c r="M98" s="4">
        <f>J98+Feb!M98</f>
        <v>107291.09</v>
      </c>
      <c r="N98" s="4">
        <f t="shared" ref="N98:N101" si="44">L98-M98</f>
        <v>48708.91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0"/>
      <c r="B99" s="2">
        <f t="shared" ref="B99:B101" si="45">B98+1</f>
        <v>67</v>
      </c>
      <c r="C99" s="3" t="s">
        <v>99</v>
      </c>
      <c r="D99" s="6">
        <v>1.8640581429E10</v>
      </c>
      <c r="E99" s="6">
        <v>1.0359241E7</v>
      </c>
      <c r="F99" s="6">
        <f t="shared" si="42"/>
        <v>18630222188</v>
      </c>
      <c r="G99" s="6">
        <v>0.0</v>
      </c>
      <c r="H99" s="28">
        <v>19823.0</v>
      </c>
      <c r="I99" s="6">
        <v>336339.0</v>
      </c>
      <c r="J99" s="6">
        <v>4.94888785E8</v>
      </c>
      <c r="K99" s="4">
        <f t="shared" si="43"/>
        <v>-494552446</v>
      </c>
      <c r="L99" s="4">
        <f>I99+Feb!L99</f>
        <v>1076795</v>
      </c>
      <c r="M99" s="4">
        <f>J99+Feb!M99</f>
        <v>992732752</v>
      </c>
      <c r="N99" s="4">
        <f t="shared" si="44"/>
        <v>-991655957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20"/>
      <c r="B100" s="2">
        <f t="shared" si="45"/>
        <v>68</v>
      </c>
      <c r="C100" s="3" t="s">
        <v>100</v>
      </c>
      <c r="D100" s="6">
        <v>2.488970899E9</v>
      </c>
      <c r="E100" s="6">
        <v>3393374.0</v>
      </c>
      <c r="F100" s="6">
        <f t="shared" si="42"/>
        <v>2485577525</v>
      </c>
      <c r="G100" s="6">
        <v>0.0</v>
      </c>
      <c r="H100" s="28">
        <v>1228.0</v>
      </c>
      <c r="I100" s="6">
        <v>1.68572725E8</v>
      </c>
      <c r="J100" s="6">
        <v>1.2305335E8</v>
      </c>
      <c r="K100" s="4">
        <f t="shared" si="43"/>
        <v>45519375</v>
      </c>
      <c r="L100" s="4">
        <f>I100+Feb!L100</f>
        <v>346452721</v>
      </c>
      <c r="M100" s="4">
        <f>J100+Feb!M100</f>
        <v>320616332</v>
      </c>
      <c r="N100" s="4">
        <f t="shared" si="44"/>
        <v>25836389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1"/>
      <c r="B101" s="2">
        <f t="shared" si="45"/>
        <v>69</v>
      </c>
      <c r="C101" s="3" t="s">
        <v>101</v>
      </c>
      <c r="D101" s="6">
        <v>1.0372693808E10</v>
      </c>
      <c r="E101" s="6">
        <v>8.115964E7</v>
      </c>
      <c r="F101" s="6">
        <f t="shared" si="42"/>
        <v>10291534168</v>
      </c>
      <c r="G101" s="6">
        <v>0.0</v>
      </c>
      <c r="H101" s="28">
        <v>75093.0</v>
      </c>
      <c r="I101" s="6">
        <v>1.003855545E9</v>
      </c>
      <c r="J101" s="6">
        <v>7.83687547E8</v>
      </c>
      <c r="K101" s="4">
        <f t="shared" si="43"/>
        <v>220167998</v>
      </c>
      <c r="L101" s="4">
        <f>I101+Feb!L101</f>
        <v>1561794914</v>
      </c>
      <c r="M101" s="4">
        <f>J101+Feb!M101</f>
        <v>2047936873</v>
      </c>
      <c r="N101" s="4">
        <f t="shared" si="44"/>
        <v>-486141959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0" t="s">
        <v>40</v>
      </c>
      <c r="B102" s="2"/>
      <c r="C102" s="3"/>
      <c r="D102" s="6"/>
      <c r="E102" s="6"/>
      <c r="F102" s="6"/>
      <c r="G102" s="6"/>
      <c r="H102" s="28"/>
      <c r="I102" s="6"/>
      <c r="J102" s="6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1+B101</f>
        <v>70</v>
      </c>
      <c r="C103" s="3" t="s">
        <v>99</v>
      </c>
      <c r="D103" s="6">
        <v>1.5402752262E10</v>
      </c>
      <c r="E103" s="6">
        <v>7899987.0</v>
      </c>
      <c r="F103" s="6">
        <f>D103-E103</f>
        <v>15394852275</v>
      </c>
      <c r="G103" s="6">
        <v>0.0</v>
      </c>
      <c r="H103" s="28">
        <v>33444.0</v>
      </c>
      <c r="I103" s="6">
        <v>2.040456953E9</v>
      </c>
      <c r="J103" s="6">
        <v>1.54128012E9</v>
      </c>
      <c r="K103" s="4">
        <f>I103-J103</f>
        <v>499176833</v>
      </c>
      <c r="L103" s="4">
        <f>I103+Feb!L103</f>
        <v>5048361234</v>
      </c>
      <c r="M103" s="4">
        <f>J103+Feb!M103</f>
        <v>3517846161</v>
      </c>
      <c r="N103" s="4">
        <f>L103-M103</f>
        <v>1530515073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4" t="s">
        <v>46</v>
      </c>
      <c r="B104" s="2"/>
      <c r="C104" s="3"/>
      <c r="D104" s="26">
        <f t="shared" ref="D104:N104" si="46">SUM(D98:D101)+D103</f>
        <v>47081667504</v>
      </c>
      <c r="E104" s="26">
        <f t="shared" si="46"/>
        <v>103153313.2</v>
      </c>
      <c r="F104" s="26">
        <f t="shared" si="46"/>
        <v>46978514191</v>
      </c>
      <c r="G104" s="26">
        <f t="shared" si="46"/>
        <v>0</v>
      </c>
      <c r="H104" s="29">
        <f t="shared" si="46"/>
        <v>129649</v>
      </c>
      <c r="I104" s="26">
        <f t="shared" si="46"/>
        <v>3213261562</v>
      </c>
      <c r="J104" s="26">
        <f t="shared" si="46"/>
        <v>2942998904</v>
      </c>
      <c r="K104" s="26">
        <f t="shared" si="46"/>
        <v>270262657.8</v>
      </c>
      <c r="L104" s="26">
        <f t="shared" si="46"/>
        <v>6957841664</v>
      </c>
      <c r="M104" s="26">
        <f t="shared" si="46"/>
        <v>6879239409</v>
      </c>
      <c r="N104" s="26">
        <f t="shared" si="46"/>
        <v>78602254.91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20" t="s">
        <v>47</v>
      </c>
      <c r="B105" s="2"/>
      <c r="C105" s="3"/>
      <c r="D105" s="6"/>
      <c r="E105" s="6"/>
      <c r="F105" s="6"/>
      <c r="G105" s="6"/>
      <c r="H105" s="32"/>
      <c r="I105" s="6"/>
      <c r="J105" s="4"/>
      <c r="K105" s="4"/>
      <c r="L105" s="4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/>
      <c r="B106" s="2">
        <f>1+B103</f>
        <v>71</v>
      </c>
      <c r="C106" s="3" t="s">
        <v>102</v>
      </c>
      <c r="D106" s="6">
        <v>1.327855618E9</v>
      </c>
      <c r="E106" s="6">
        <v>7219579.0</v>
      </c>
      <c r="F106" s="6">
        <f>D106-E106</f>
        <v>1320636039</v>
      </c>
      <c r="G106" s="6">
        <v>0.0</v>
      </c>
      <c r="H106" s="28">
        <v>4006.0</v>
      </c>
      <c r="I106" s="6">
        <v>8.8102932E7</v>
      </c>
      <c r="J106" s="6">
        <v>1.5368022E7</v>
      </c>
      <c r="K106" s="4">
        <f>I106-J106</f>
        <v>72734910</v>
      </c>
      <c r="L106" s="4">
        <f>I106+Feb!L106</f>
        <v>149373870</v>
      </c>
      <c r="M106" s="4">
        <f>J106+Feb!M106</f>
        <v>271595898</v>
      </c>
      <c r="N106" s="4">
        <f>L106-M106</f>
        <v>-122222028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4" t="s">
        <v>93</v>
      </c>
      <c r="B107" s="2"/>
      <c r="C107" s="3"/>
      <c r="D107" s="26">
        <f t="shared" ref="D107:N107" si="47">SUM(D106)</f>
        <v>1327855618</v>
      </c>
      <c r="E107" s="26">
        <f t="shared" si="47"/>
        <v>7219579</v>
      </c>
      <c r="F107" s="26">
        <f t="shared" si="47"/>
        <v>1320636039</v>
      </c>
      <c r="G107" s="26">
        <f t="shared" si="47"/>
        <v>0</v>
      </c>
      <c r="H107" s="29">
        <f t="shared" si="47"/>
        <v>4006</v>
      </c>
      <c r="I107" s="26">
        <f t="shared" si="47"/>
        <v>88102932</v>
      </c>
      <c r="J107" s="26">
        <f t="shared" si="47"/>
        <v>15368022</v>
      </c>
      <c r="K107" s="26">
        <f t="shared" si="47"/>
        <v>72734910</v>
      </c>
      <c r="L107" s="26">
        <f t="shared" si="47"/>
        <v>149373870</v>
      </c>
      <c r="M107" s="26">
        <f t="shared" si="47"/>
        <v>271595898</v>
      </c>
      <c r="N107" s="26">
        <f t="shared" si="47"/>
        <v>-122222028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1" t="s">
        <v>103</v>
      </c>
      <c r="B108" s="2"/>
      <c r="C108" s="3"/>
      <c r="D108" s="26">
        <f t="shared" ref="D108:N108" si="48">D104+D107</f>
        <v>48409523122</v>
      </c>
      <c r="E108" s="26">
        <f t="shared" si="48"/>
        <v>110372892.2</v>
      </c>
      <c r="F108" s="26">
        <f t="shared" si="48"/>
        <v>48299150230</v>
      </c>
      <c r="G108" s="26">
        <f t="shared" si="48"/>
        <v>0</v>
      </c>
      <c r="H108" s="29">
        <f t="shared" si="48"/>
        <v>133655</v>
      </c>
      <c r="I108" s="26">
        <f t="shared" si="48"/>
        <v>3301364494</v>
      </c>
      <c r="J108" s="26">
        <f t="shared" si="48"/>
        <v>2958366926</v>
      </c>
      <c r="K108" s="26">
        <f t="shared" si="48"/>
        <v>342997567.8</v>
      </c>
      <c r="L108" s="26">
        <f t="shared" si="48"/>
        <v>7107215534</v>
      </c>
      <c r="M108" s="26">
        <f t="shared" si="48"/>
        <v>7150835307</v>
      </c>
      <c r="N108" s="26">
        <f t="shared" si="48"/>
        <v>-43619773.09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 t="s">
        <v>104</v>
      </c>
      <c r="B109" s="2"/>
      <c r="C109" s="3"/>
      <c r="D109" s="30"/>
      <c r="E109" s="30"/>
      <c r="F109" s="30"/>
      <c r="G109" s="30"/>
      <c r="H109" s="31"/>
      <c r="I109" s="30"/>
      <c r="J109" s="30"/>
      <c r="K109" s="30"/>
      <c r="L109" s="30"/>
      <c r="M109" s="30"/>
      <c r="N109" s="3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20" t="s">
        <v>105</v>
      </c>
      <c r="B110" s="2"/>
      <c r="C110" s="3"/>
      <c r="D110" s="6"/>
      <c r="E110" s="6"/>
      <c r="F110" s="6"/>
      <c r="G110" s="6"/>
      <c r="H110" s="32"/>
      <c r="I110" s="6"/>
      <c r="J110" s="6"/>
      <c r="K110" s="4"/>
      <c r="L110" s="4"/>
      <c r="M110" s="4"/>
      <c r="N110" s="4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0"/>
      <c r="B111" s="2">
        <f>1+B106</f>
        <v>72</v>
      </c>
      <c r="C111" s="3" t="s">
        <v>106</v>
      </c>
      <c r="D111" s="6">
        <v>1.0634670495E10</v>
      </c>
      <c r="E111" s="6">
        <v>1.28090557E8</v>
      </c>
      <c r="F111" s="6">
        <f t="shared" ref="F111:F113" si="49">D111-E111</f>
        <v>10506579938</v>
      </c>
      <c r="G111" s="6">
        <v>0.0</v>
      </c>
      <c r="H111" s="28">
        <v>611267.0</v>
      </c>
      <c r="I111" s="6">
        <v>1.8569171E8</v>
      </c>
      <c r="J111" s="6">
        <v>1.37792005E8</v>
      </c>
      <c r="K111" s="4">
        <f t="shared" ref="K111:K113" si="50">I111-J111</f>
        <v>47899705</v>
      </c>
      <c r="L111" s="4">
        <f>I111+Feb!L111</f>
        <v>1102312551</v>
      </c>
      <c r="M111" s="4">
        <f>J111+Feb!M111</f>
        <v>339319944</v>
      </c>
      <c r="N111" s="4">
        <f t="shared" ref="N111:N113" si="51">L111-M111</f>
        <v>762992607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1"/>
      <c r="B112" s="2">
        <f t="shared" ref="B112:B113" si="52">1+B111</f>
        <v>73</v>
      </c>
      <c r="C112" s="3" t="s">
        <v>107</v>
      </c>
      <c r="D112" s="6">
        <v>7.839840905E9</v>
      </c>
      <c r="E112" s="6">
        <v>3.9515374E7</v>
      </c>
      <c r="F112" s="6">
        <f t="shared" si="49"/>
        <v>7800325531</v>
      </c>
      <c r="G112" s="6">
        <v>0.0</v>
      </c>
      <c r="H112" s="28">
        <v>13248.0</v>
      </c>
      <c r="I112" s="6">
        <v>6.54636721E8</v>
      </c>
      <c r="J112" s="6">
        <v>6.41950958E8</v>
      </c>
      <c r="K112" s="4">
        <f t="shared" si="50"/>
        <v>12685763</v>
      </c>
      <c r="L112" s="4">
        <f>I112+Feb!L112</f>
        <v>1960527537</v>
      </c>
      <c r="M112" s="4">
        <f>J112+Feb!M112</f>
        <v>1032384353</v>
      </c>
      <c r="N112" s="4">
        <f t="shared" si="51"/>
        <v>928143184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 t="shared" si="52"/>
        <v>74</v>
      </c>
      <c r="C113" s="3" t="s">
        <v>108</v>
      </c>
      <c r="D113" s="6">
        <v>3.539310013E9</v>
      </c>
      <c r="E113" s="6">
        <v>3.9496803E7</v>
      </c>
      <c r="F113" s="6">
        <f t="shared" si="49"/>
        <v>3499813210</v>
      </c>
      <c r="G113" s="6">
        <v>0.0</v>
      </c>
      <c r="H113" s="28">
        <v>5545.0</v>
      </c>
      <c r="I113" s="6">
        <v>8.8638661E7</v>
      </c>
      <c r="J113" s="6">
        <v>2.03132809E8</v>
      </c>
      <c r="K113" s="4">
        <f t="shared" si="50"/>
        <v>-114494148</v>
      </c>
      <c r="L113" s="4">
        <f>I113+Feb!L113</f>
        <v>300796647</v>
      </c>
      <c r="M113" s="4">
        <f>J113+Feb!M113</f>
        <v>394428774</v>
      </c>
      <c r="N113" s="4">
        <f t="shared" si="51"/>
        <v>-93632127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4" t="s">
        <v>46</v>
      </c>
      <c r="B114" s="2"/>
      <c r="C114" s="3"/>
      <c r="D114" s="26">
        <f t="shared" ref="D114:N114" si="53">D111+D112+D113</f>
        <v>22013821413</v>
      </c>
      <c r="E114" s="26">
        <f t="shared" si="53"/>
        <v>207102734</v>
      </c>
      <c r="F114" s="26">
        <f t="shared" si="53"/>
        <v>21806718679</v>
      </c>
      <c r="G114" s="26">
        <f t="shared" si="53"/>
        <v>0</v>
      </c>
      <c r="H114" s="27">
        <f t="shared" si="53"/>
        <v>630060</v>
      </c>
      <c r="I114" s="26">
        <f t="shared" si="53"/>
        <v>928967092</v>
      </c>
      <c r="J114" s="26">
        <f t="shared" si="53"/>
        <v>982875772</v>
      </c>
      <c r="K114" s="26">
        <f t="shared" si="53"/>
        <v>-53908680</v>
      </c>
      <c r="L114" s="26">
        <f t="shared" si="53"/>
        <v>3363636735</v>
      </c>
      <c r="M114" s="26">
        <f t="shared" si="53"/>
        <v>1766133071</v>
      </c>
      <c r="N114" s="26">
        <f t="shared" si="53"/>
        <v>1597503664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20" t="s">
        <v>109</v>
      </c>
      <c r="B115" s="2"/>
      <c r="C115" s="3"/>
      <c r="D115" s="6"/>
      <c r="E115" s="6"/>
      <c r="F115" s="6"/>
      <c r="G115" s="6"/>
      <c r="H115" s="32"/>
      <c r="I115" s="6"/>
      <c r="J115" s="6"/>
      <c r="K115" s="4"/>
      <c r="L115" s="4"/>
      <c r="M115" s="4"/>
      <c r="N115" s="4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1"/>
      <c r="B116" s="2">
        <f>1+B113</f>
        <v>75</v>
      </c>
      <c r="C116" s="3" t="s">
        <v>106</v>
      </c>
      <c r="D116" s="6">
        <v>8.601303095E9</v>
      </c>
      <c r="E116" s="6">
        <v>1.34330716E8</v>
      </c>
      <c r="F116" s="6">
        <f>D116-E116</f>
        <v>8466972379</v>
      </c>
      <c r="G116" s="6">
        <v>0.0</v>
      </c>
      <c r="H116" s="28">
        <v>6744.0</v>
      </c>
      <c r="I116" s="6">
        <v>4.6702901E7</v>
      </c>
      <c r="J116" s="6">
        <v>2.66033014E8</v>
      </c>
      <c r="K116" s="4">
        <f>I116-J116</f>
        <v>-219330113</v>
      </c>
      <c r="L116" s="4">
        <f>I116+Feb!L116</f>
        <v>145679214</v>
      </c>
      <c r="M116" s="4">
        <f>J116+Feb!M116</f>
        <v>481056219</v>
      </c>
      <c r="N116" s="4">
        <f>L116-M116</f>
        <v>-335377005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12.0" customHeight="1">
      <c r="A117" s="24" t="s">
        <v>93</v>
      </c>
      <c r="B117" s="25"/>
      <c r="C117" s="1"/>
      <c r="D117" s="26">
        <f t="shared" ref="D117:N117" si="54">SUM(D116)</f>
        <v>8601303095</v>
      </c>
      <c r="E117" s="26">
        <f t="shared" si="54"/>
        <v>134330716</v>
      </c>
      <c r="F117" s="26">
        <f t="shared" si="54"/>
        <v>8466972379</v>
      </c>
      <c r="G117" s="26">
        <f t="shared" si="54"/>
        <v>0</v>
      </c>
      <c r="H117" s="29">
        <f t="shared" si="54"/>
        <v>6744</v>
      </c>
      <c r="I117" s="26">
        <f t="shared" si="54"/>
        <v>46702901</v>
      </c>
      <c r="J117" s="26">
        <f t="shared" si="54"/>
        <v>266033014</v>
      </c>
      <c r="K117" s="26">
        <f t="shared" si="54"/>
        <v>-219330113</v>
      </c>
      <c r="L117" s="26">
        <f t="shared" si="54"/>
        <v>145679214</v>
      </c>
      <c r="M117" s="26">
        <f t="shared" si="54"/>
        <v>481056219</v>
      </c>
      <c r="N117" s="26">
        <f t="shared" si="54"/>
        <v>-335377005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1" t="s">
        <v>110</v>
      </c>
      <c r="B118" s="35"/>
      <c r="C118" s="33"/>
      <c r="D118" s="26">
        <f t="shared" ref="D118:N118" si="55">SUM(D114+D117)</f>
        <v>30615124508</v>
      </c>
      <c r="E118" s="26">
        <f t="shared" si="55"/>
        <v>341433450</v>
      </c>
      <c r="F118" s="26">
        <f t="shared" si="55"/>
        <v>30273691058</v>
      </c>
      <c r="G118" s="26">
        <f t="shared" si="55"/>
        <v>0</v>
      </c>
      <c r="H118" s="29">
        <f t="shared" si="55"/>
        <v>636804</v>
      </c>
      <c r="I118" s="26">
        <f t="shared" si="55"/>
        <v>975669993</v>
      </c>
      <c r="J118" s="26">
        <f t="shared" si="55"/>
        <v>1248908786</v>
      </c>
      <c r="K118" s="26">
        <f t="shared" si="55"/>
        <v>-273238793</v>
      </c>
      <c r="L118" s="26">
        <f t="shared" si="55"/>
        <v>3509315949</v>
      </c>
      <c r="M118" s="26">
        <f t="shared" si="55"/>
        <v>2247189290</v>
      </c>
      <c r="N118" s="26">
        <f t="shared" si="55"/>
        <v>1262126659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36" t="s">
        <v>111</v>
      </c>
      <c r="B119" s="37"/>
      <c r="C119" s="38"/>
      <c r="D119" s="39" t="str">
        <f t="shared" ref="D119:N119" si="56">D42+D67+D95+D108+D118</f>
        <v>#REF!</v>
      </c>
      <c r="E119" s="39" t="str">
        <f t="shared" si="56"/>
        <v>#REF!</v>
      </c>
      <c r="F119" s="39" t="str">
        <f t="shared" si="56"/>
        <v>#REF!</v>
      </c>
      <c r="G119" s="39" t="str">
        <f t="shared" si="56"/>
        <v>#REF!</v>
      </c>
      <c r="H119" s="40" t="str">
        <f t="shared" si="56"/>
        <v>#REF!</v>
      </c>
      <c r="I119" s="39" t="str">
        <f t="shared" si="56"/>
        <v>#REF!</v>
      </c>
      <c r="J119" s="39" t="str">
        <f t="shared" si="56"/>
        <v>#REF!</v>
      </c>
      <c r="K119" s="39" t="str">
        <f t="shared" si="56"/>
        <v>#REF!</v>
      </c>
      <c r="L119" s="39" t="str">
        <f t="shared" si="56"/>
        <v>#REF!</v>
      </c>
      <c r="M119" s="39" t="str">
        <f t="shared" si="56"/>
        <v>#REF!</v>
      </c>
      <c r="N119" s="39" t="str">
        <f t="shared" si="56"/>
        <v>#REF!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2.0" customHeight="1">
      <c r="A120" s="41"/>
      <c r="B120" s="41"/>
      <c r="C120" s="41"/>
      <c r="D120" s="4"/>
      <c r="E120" s="4"/>
      <c r="F120" s="4"/>
      <c r="G120" s="4"/>
      <c r="H120" s="5"/>
      <c r="I120" s="6"/>
      <c r="J120" s="4"/>
      <c r="K120" s="4"/>
      <c r="L120" s="4" t="str">
        <f>I119+'Feb UPDATED'!L119-Mar!L119</f>
        <v>#REF!</v>
      </c>
      <c r="M120" s="4" t="str">
        <f>J119+'Feb UPDATED'!M119-Mar!M119</f>
        <v>#REF!</v>
      </c>
      <c r="N120" s="4" t="str">
        <f>K119+'Feb UPDATED'!N119-Mar!N119</f>
        <v>#REF!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2" t="s">
        <v>112</v>
      </c>
      <c r="B121" s="34"/>
      <c r="C121" s="3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2" t="s">
        <v>113</v>
      </c>
      <c r="B122" s="34"/>
      <c r="C122" s="3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9.75" customHeight="1">
      <c r="A123" s="42" t="s">
        <v>114</v>
      </c>
      <c r="B123" s="34"/>
      <c r="C123" s="3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9.75" customHeight="1">
      <c r="A124" s="42" t="s">
        <v>119</v>
      </c>
      <c r="B124" s="41"/>
      <c r="C124" s="41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1"/>
      <c r="B125" s="41"/>
      <c r="C125" s="41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1"/>
      <c r="B126" s="41"/>
      <c r="C126" s="41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1"/>
      <c r="B127" s="41"/>
      <c r="C127" s="41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1"/>
      <c r="B128" s="41"/>
      <c r="C128" s="41"/>
      <c r="D128" s="3"/>
      <c r="E128" s="3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1"/>
      <c r="B129" s="41"/>
      <c r="C129" s="41"/>
      <c r="D129" s="3"/>
      <c r="E129" s="3"/>
      <c r="F129" s="4"/>
      <c r="G129" s="4"/>
      <c r="H129" s="5"/>
      <c r="I129" s="6"/>
      <c r="J129" s="4"/>
      <c r="K129" s="4"/>
      <c r="L129" s="4"/>
      <c r="M129" s="4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1"/>
      <c r="B130" s="41"/>
      <c r="C130" s="41"/>
      <c r="D130" s="3"/>
      <c r="E130" s="3"/>
      <c r="F130" s="4"/>
      <c r="G130" s="4"/>
      <c r="H130" s="5"/>
      <c r="I130" s="6"/>
      <c r="J130" s="4"/>
      <c r="K130" s="4"/>
      <c r="L130" s="4"/>
      <c r="M130" s="4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1"/>
      <c r="B131" s="41"/>
      <c r="C131" s="41"/>
      <c r="D131" s="3"/>
      <c r="E131" s="3"/>
      <c r="F131" s="4"/>
      <c r="G131" s="4"/>
      <c r="H131" s="5"/>
      <c r="I131" s="6"/>
      <c r="J131" s="4"/>
      <c r="K131" s="4"/>
      <c r="L131" s="4"/>
      <c r="M131" s="4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1"/>
      <c r="B132" s="41"/>
      <c r="C132" s="41"/>
      <c r="D132" s="3"/>
      <c r="E132" s="3"/>
      <c r="F132" s="3"/>
      <c r="G132" s="3"/>
      <c r="H132" s="5"/>
      <c r="I132" s="6"/>
      <c r="J132" s="4"/>
      <c r="K132" s="4"/>
      <c r="L132" s="4"/>
      <c r="M132" s="4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1"/>
      <c r="B133" s="41"/>
      <c r="C133" s="41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1"/>
      <c r="B134" s="41"/>
      <c r="C134" s="41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1"/>
      <c r="B135" s="41"/>
      <c r="C135" s="41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1"/>
      <c r="B136" s="41"/>
      <c r="C136" s="41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1"/>
      <c r="B137" s="41"/>
      <c r="C137" s="41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1"/>
      <c r="B138" s="41"/>
      <c r="C138" s="41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1"/>
      <c r="B139" s="41"/>
      <c r="C139" s="41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1"/>
      <c r="B140" s="41"/>
      <c r="C140" s="41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1"/>
      <c r="B141" s="41"/>
      <c r="C141" s="41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1"/>
      <c r="B142" s="41"/>
      <c r="C142" s="41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1"/>
      <c r="B143" s="41"/>
      <c r="C143" s="41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1"/>
      <c r="B144" s="41"/>
      <c r="C144" s="41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1"/>
      <c r="B145" s="41"/>
      <c r="C145" s="41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1"/>
      <c r="B146" s="41"/>
      <c r="C146" s="41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1"/>
      <c r="B147" s="41"/>
      <c r="C147" s="41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1"/>
      <c r="B148" s="41"/>
      <c r="C148" s="41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1"/>
      <c r="B149" s="41"/>
      <c r="C149" s="41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1"/>
      <c r="B150" s="41"/>
      <c r="C150" s="41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1"/>
      <c r="B151" s="41"/>
      <c r="C151" s="41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1"/>
      <c r="B152" s="41"/>
      <c r="C152" s="41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1"/>
      <c r="B153" s="41"/>
      <c r="C153" s="41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1"/>
      <c r="B154" s="41"/>
      <c r="C154" s="41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1"/>
      <c r="B155" s="41"/>
      <c r="C155" s="41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1"/>
      <c r="B156" s="41"/>
      <c r="C156" s="41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1"/>
      <c r="B157" s="41"/>
      <c r="C157" s="41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1"/>
      <c r="B158" s="41"/>
      <c r="C158" s="41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1"/>
      <c r="B159" s="41"/>
      <c r="C159" s="41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1"/>
      <c r="B160" s="41"/>
      <c r="C160" s="41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1"/>
      <c r="B161" s="41"/>
      <c r="C161" s="41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1"/>
      <c r="B162" s="41"/>
      <c r="C162" s="41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1"/>
      <c r="B163" s="41"/>
      <c r="C163" s="41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1"/>
      <c r="B164" s="41"/>
      <c r="C164" s="41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1"/>
      <c r="B165" s="41"/>
      <c r="C165" s="41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1"/>
      <c r="B166" s="41"/>
      <c r="C166" s="41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1"/>
      <c r="B167" s="41"/>
      <c r="C167" s="41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1"/>
      <c r="B168" s="41"/>
      <c r="C168" s="41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1"/>
      <c r="B169" s="41"/>
      <c r="C169" s="41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1"/>
      <c r="B170" s="41"/>
      <c r="C170" s="41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1"/>
      <c r="B171" s="41"/>
      <c r="C171" s="41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1"/>
      <c r="B172" s="41"/>
      <c r="C172" s="41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1"/>
      <c r="B173" s="41"/>
      <c r="C173" s="41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1"/>
      <c r="B174" s="41"/>
      <c r="C174" s="41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1"/>
      <c r="B175" s="41"/>
      <c r="C175" s="41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1"/>
      <c r="B176" s="41"/>
      <c r="C176" s="41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1"/>
      <c r="B177" s="41"/>
      <c r="C177" s="41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1"/>
      <c r="B178" s="41"/>
      <c r="C178" s="41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1"/>
      <c r="B179" s="41"/>
      <c r="C179" s="41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1"/>
      <c r="B180" s="41"/>
      <c r="C180" s="41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1"/>
      <c r="B181" s="41"/>
      <c r="C181" s="41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1"/>
      <c r="B182" s="41"/>
      <c r="C182" s="41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1"/>
      <c r="B183" s="41"/>
      <c r="C183" s="41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1"/>
      <c r="B184" s="41"/>
      <c r="C184" s="41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1"/>
      <c r="B185" s="41"/>
      <c r="C185" s="41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1"/>
      <c r="B186" s="41"/>
      <c r="C186" s="41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1"/>
      <c r="B187" s="41"/>
      <c r="C187" s="41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1"/>
      <c r="B188" s="41"/>
      <c r="C188" s="41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1"/>
      <c r="B189" s="41"/>
      <c r="C189" s="41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1"/>
      <c r="B190" s="41"/>
      <c r="C190" s="41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1"/>
      <c r="B191" s="41"/>
      <c r="C191" s="41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1"/>
      <c r="B192" s="41"/>
      <c r="C192" s="41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1"/>
      <c r="B193" s="41"/>
      <c r="C193" s="41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1"/>
      <c r="B194" s="41"/>
      <c r="C194" s="41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1"/>
      <c r="B195" s="41"/>
      <c r="C195" s="41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1"/>
      <c r="B196" s="41"/>
      <c r="C196" s="41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1"/>
      <c r="B197" s="41"/>
      <c r="C197" s="41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1"/>
      <c r="B198" s="41"/>
      <c r="C198" s="41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1"/>
      <c r="B199" s="41"/>
      <c r="C199" s="41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1"/>
      <c r="B200" s="41"/>
      <c r="C200" s="41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1"/>
      <c r="B201" s="41"/>
      <c r="C201" s="41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1"/>
      <c r="B202" s="41"/>
      <c r="C202" s="41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1"/>
      <c r="B203" s="41"/>
      <c r="C203" s="41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1"/>
      <c r="B204" s="41"/>
      <c r="C204" s="41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1"/>
      <c r="B205" s="41"/>
      <c r="C205" s="41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1"/>
      <c r="B206" s="41"/>
      <c r="C206" s="41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1"/>
      <c r="B207" s="41"/>
      <c r="C207" s="41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1"/>
      <c r="B208" s="41"/>
      <c r="C208" s="41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1"/>
      <c r="B209" s="41"/>
      <c r="C209" s="41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1"/>
      <c r="B210" s="41"/>
      <c r="C210" s="41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1"/>
      <c r="B211" s="41"/>
      <c r="C211" s="41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1"/>
      <c r="B212" s="41"/>
      <c r="C212" s="41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1"/>
      <c r="B213" s="41"/>
      <c r="C213" s="41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1"/>
      <c r="B214" s="41"/>
      <c r="C214" s="41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1"/>
      <c r="B215" s="41"/>
      <c r="C215" s="41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1"/>
      <c r="B216" s="41"/>
      <c r="C216" s="41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1"/>
      <c r="B217" s="41"/>
      <c r="C217" s="41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1"/>
      <c r="B218" s="41"/>
      <c r="C218" s="41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1"/>
      <c r="B219" s="41"/>
      <c r="C219" s="41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1"/>
      <c r="B220" s="41"/>
      <c r="C220" s="41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1"/>
      <c r="B221" s="41"/>
      <c r="C221" s="41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1"/>
      <c r="B222" s="41"/>
      <c r="C222" s="41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1"/>
      <c r="B223" s="41"/>
      <c r="C223" s="41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1"/>
      <c r="B224" s="41"/>
      <c r="C224" s="41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1"/>
      <c r="B225" s="41"/>
      <c r="C225" s="41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1"/>
      <c r="B226" s="41"/>
      <c r="C226" s="41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1"/>
      <c r="B227" s="41"/>
      <c r="C227" s="41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1"/>
      <c r="B228" s="41"/>
      <c r="C228" s="41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1"/>
      <c r="B229" s="41"/>
      <c r="C229" s="41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1"/>
      <c r="B230" s="41"/>
      <c r="C230" s="41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1"/>
      <c r="B231" s="41"/>
      <c r="C231" s="41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1"/>
      <c r="B232" s="41"/>
      <c r="C232" s="41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1"/>
      <c r="B233" s="41"/>
      <c r="C233" s="41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1"/>
      <c r="B234" s="41"/>
      <c r="C234" s="41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1"/>
      <c r="B235" s="41"/>
      <c r="C235" s="41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1"/>
      <c r="B236" s="41"/>
      <c r="C236" s="41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1"/>
      <c r="B237" s="41"/>
      <c r="C237" s="41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1"/>
      <c r="B238" s="41"/>
      <c r="C238" s="41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1"/>
      <c r="B239" s="41"/>
      <c r="C239" s="41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1"/>
      <c r="B240" s="41"/>
      <c r="C240" s="41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1"/>
      <c r="B241" s="41"/>
      <c r="C241" s="41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1"/>
      <c r="B242" s="41"/>
      <c r="C242" s="41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1"/>
      <c r="B243" s="41"/>
      <c r="C243" s="41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1"/>
      <c r="B244" s="41"/>
      <c r="C244" s="41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1"/>
      <c r="B245" s="41"/>
      <c r="C245" s="41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1"/>
      <c r="B246" s="41"/>
      <c r="C246" s="41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1"/>
      <c r="B247" s="41"/>
      <c r="C247" s="41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1"/>
      <c r="B248" s="41"/>
      <c r="C248" s="41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1"/>
      <c r="B249" s="41"/>
      <c r="C249" s="41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1"/>
      <c r="B250" s="41"/>
      <c r="C250" s="41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1"/>
      <c r="B251" s="41"/>
      <c r="C251" s="41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1"/>
      <c r="B252" s="41"/>
      <c r="C252" s="41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1"/>
      <c r="B253" s="41"/>
      <c r="C253" s="41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1"/>
      <c r="B254" s="41"/>
      <c r="C254" s="41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1"/>
      <c r="B255" s="41"/>
      <c r="C255" s="41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1"/>
      <c r="B256" s="41"/>
      <c r="C256" s="41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1"/>
      <c r="B257" s="41"/>
      <c r="C257" s="41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1"/>
      <c r="B258" s="41"/>
      <c r="C258" s="41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1"/>
      <c r="B259" s="41"/>
      <c r="C259" s="41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1"/>
      <c r="B260" s="41"/>
      <c r="C260" s="41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1"/>
      <c r="B261" s="41"/>
      <c r="C261" s="41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1"/>
      <c r="B262" s="41"/>
      <c r="C262" s="41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1"/>
      <c r="B263" s="41"/>
      <c r="C263" s="41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1"/>
      <c r="B264" s="41"/>
      <c r="C264" s="41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1"/>
      <c r="B265" s="41"/>
      <c r="C265" s="41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1"/>
      <c r="B266" s="41"/>
      <c r="C266" s="41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1"/>
      <c r="B267" s="41"/>
      <c r="C267" s="41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1"/>
      <c r="B268" s="41"/>
      <c r="C268" s="41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1"/>
      <c r="B269" s="41"/>
      <c r="C269" s="41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1"/>
      <c r="B270" s="41"/>
      <c r="C270" s="41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1"/>
      <c r="B271" s="41"/>
      <c r="C271" s="41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1"/>
      <c r="B272" s="41"/>
      <c r="C272" s="41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1"/>
      <c r="B273" s="41"/>
      <c r="C273" s="41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1"/>
      <c r="B274" s="41"/>
      <c r="C274" s="41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1"/>
      <c r="B275" s="41"/>
      <c r="C275" s="41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1"/>
      <c r="B276" s="41"/>
      <c r="C276" s="41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1"/>
      <c r="B277" s="41"/>
      <c r="C277" s="41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1"/>
      <c r="B278" s="41"/>
      <c r="C278" s="41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1"/>
      <c r="B279" s="41"/>
      <c r="C279" s="41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1"/>
      <c r="B280" s="41"/>
      <c r="C280" s="41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1"/>
      <c r="B281" s="41"/>
      <c r="C281" s="41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1"/>
      <c r="B282" s="41"/>
      <c r="C282" s="41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1"/>
      <c r="B283" s="41"/>
      <c r="C283" s="41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1"/>
      <c r="B284" s="41"/>
      <c r="C284" s="41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1"/>
      <c r="B285" s="41"/>
      <c r="C285" s="41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1"/>
      <c r="B286" s="41"/>
      <c r="C286" s="41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1"/>
      <c r="B287" s="41"/>
      <c r="C287" s="41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1"/>
      <c r="B288" s="41"/>
      <c r="C288" s="41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1"/>
      <c r="B289" s="41"/>
      <c r="C289" s="41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1"/>
      <c r="B290" s="41"/>
      <c r="C290" s="41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1"/>
      <c r="B291" s="41"/>
      <c r="C291" s="41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1"/>
      <c r="B292" s="41"/>
      <c r="C292" s="41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1"/>
      <c r="B293" s="41"/>
      <c r="C293" s="41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1"/>
      <c r="B294" s="41"/>
      <c r="C294" s="41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1"/>
      <c r="B295" s="41"/>
      <c r="C295" s="41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1"/>
      <c r="B296" s="41"/>
      <c r="C296" s="41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1"/>
      <c r="B297" s="41"/>
      <c r="C297" s="41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1"/>
      <c r="B298" s="41"/>
      <c r="C298" s="41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1"/>
      <c r="B299" s="41"/>
      <c r="C299" s="41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1"/>
      <c r="B300" s="41"/>
      <c r="C300" s="41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1"/>
      <c r="B301" s="41"/>
      <c r="C301" s="41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1"/>
      <c r="B302" s="41"/>
      <c r="C302" s="41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1"/>
      <c r="B303" s="41"/>
      <c r="C303" s="41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1"/>
      <c r="B304" s="41"/>
      <c r="C304" s="41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1"/>
      <c r="B305" s="41"/>
      <c r="C305" s="41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1"/>
      <c r="B306" s="41"/>
      <c r="C306" s="41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1"/>
      <c r="B307" s="41"/>
      <c r="C307" s="41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1"/>
      <c r="B308" s="41"/>
      <c r="C308" s="41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1"/>
      <c r="B309" s="41"/>
      <c r="C309" s="41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1"/>
      <c r="B310" s="41"/>
      <c r="C310" s="41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1"/>
      <c r="B311" s="41"/>
      <c r="C311" s="41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1"/>
      <c r="B312" s="41"/>
      <c r="C312" s="41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1"/>
      <c r="B313" s="41"/>
      <c r="C313" s="41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1"/>
      <c r="B314" s="41"/>
      <c r="C314" s="41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1"/>
      <c r="B315" s="41"/>
      <c r="C315" s="41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1"/>
      <c r="B316" s="41"/>
      <c r="C316" s="41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1"/>
      <c r="B317" s="41"/>
      <c r="C317" s="41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1"/>
      <c r="B318" s="41"/>
      <c r="C318" s="41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1"/>
      <c r="B319" s="41"/>
      <c r="C319" s="41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1"/>
      <c r="B320" s="41"/>
      <c r="C320" s="41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1"/>
      <c r="B321" s="41"/>
      <c r="C321" s="41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1"/>
      <c r="B322" s="41"/>
      <c r="C322" s="41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1"/>
      <c r="B323" s="41"/>
      <c r="C323" s="41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1"/>
      <c r="B324" s="41"/>
      <c r="C324" s="41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3.38"/>
    <col customWidth="1" min="9" max="9" width="11.0"/>
    <col customWidth="1" min="10" max="27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127</v>
      </c>
      <c r="B3" s="2"/>
      <c r="C3" s="1"/>
      <c r="D3" s="8"/>
      <c r="E3" s="8"/>
      <c r="F3" s="8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"/>
      <c r="E5" s="12" t="s">
        <v>5</v>
      </c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14" t="s">
        <v>6</v>
      </c>
      <c r="B6" s="15"/>
      <c r="C6" s="16" t="s">
        <v>7</v>
      </c>
      <c r="D6" s="17" t="s">
        <v>10</v>
      </c>
      <c r="E6" s="17" t="s">
        <v>16</v>
      </c>
      <c r="F6" s="17" t="s">
        <v>17</v>
      </c>
      <c r="G6" s="17" t="s">
        <v>18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0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0"/>
      <c r="B9" s="2">
        <v>1.0</v>
      </c>
      <c r="C9" s="3" t="s">
        <v>21</v>
      </c>
      <c r="D9" s="6">
        <f>Mar!F9</f>
        <v>3263465452</v>
      </c>
      <c r="E9" s="4">
        <f>Jan!I9+Feb!I9+Mar!I9</f>
        <v>13207308</v>
      </c>
      <c r="F9" s="4">
        <f>Jan!J9+Feb!J9+Mar!J9</f>
        <v>144274668</v>
      </c>
      <c r="G9" s="4">
        <f t="shared" ref="G9:G27" si="1">E9-F9</f>
        <v>-131067360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0"/>
      <c r="B10" s="2">
        <f t="shared" ref="B10:B27" si="2">1+B9</f>
        <v>2</v>
      </c>
      <c r="C10" s="3" t="s">
        <v>22</v>
      </c>
      <c r="D10" s="6">
        <f>Mar!F10</f>
        <v>972499705.3</v>
      </c>
      <c r="E10" s="4">
        <f>Jan!I10+Feb!I10+Mar!I10</f>
        <v>30792898.66</v>
      </c>
      <c r="F10" s="4">
        <f>Jan!J10+Feb!J10+Mar!J10</f>
        <v>133084635.9</v>
      </c>
      <c r="G10" s="4">
        <f t="shared" si="1"/>
        <v>-102291737.2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0"/>
      <c r="B11" s="2">
        <f t="shared" si="2"/>
        <v>3</v>
      </c>
      <c r="C11" s="3" t="s">
        <v>23</v>
      </c>
      <c r="D11" s="6">
        <f>Mar!F11</f>
        <v>882757376.8</v>
      </c>
      <c r="E11" s="4">
        <f>Jan!I11+Feb!I11+Mar!I11</f>
        <v>10231428.67</v>
      </c>
      <c r="F11" s="4">
        <f>Jan!J11+Feb!J11+Mar!J11</f>
        <v>68288818.97</v>
      </c>
      <c r="G11" s="4">
        <f t="shared" si="1"/>
        <v>-58057390.3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0"/>
      <c r="B12" s="2">
        <f t="shared" si="2"/>
        <v>4</v>
      </c>
      <c r="C12" s="3" t="s">
        <v>24</v>
      </c>
      <c r="D12" s="6">
        <f>Mar!F12</f>
        <v>512448554.7</v>
      </c>
      <c r="E12" s="4">
        <f>Jan!I12+Feb!I12+Mar!I12</f>
        <v>36625656.25</v>
      </c>
      <c r="F12" s="4">
        <f>Jan!J12+Feb!J12+Mar!J12</f>
        <v>18077523.59</v>
      </c>
      <c r="G12" s="4">
        <f t="shared" si="1"/>
        <v>18548132.66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0"/>
      <c r="B13" s="2">
        <f t="shared" si="2"/>
        <v>5</v>
      </c>
      <c r="C13" s="3" t="s">
        <v>25</v>
      </c>
      <c r="D13" s="6">
        <f>Mar!F13</f>
        <v>237121237</v>
      </c>
      <c r="E13" s="4">
        <f>Jan!I13+Feb!I13+Mar!I13</f>
        <v>367641</v>
      </c>
      <c r="F13" s="4">
        <f>Jan!J13+Feb!J13+Mar!J13</f>
        <v>26994036</v>
      </c>
      <c r="G13" s="4">
        <f t="shared" si="1"/>
        <v>-26626395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Mar!F14</f>
        <v>2230096393</v>
      </c>
      <c r="E14" s="4">
        <f>Jan!I14+Feb!I14+Mar!I14</f>
        <v>13260639</v>
      </c>
      <c r="F14" s="4">
        <f>Jan!J14+Feb!J14+Mar!J14</f>
        <v>114703192</v>
      </c>
      <c r="G14" s="4">
        <f t="shared" si="1"/>
        <v>-101442553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Mar!F15</f>
        <v>61417654</v>
      </c>
      <c r="E15" s="4">
        <f>Jan!I15+Feb!I15+Mar!I15</f>
        <v>636464</v>
      </c>
      <c r="F15" s="4">
        <f>Jan!J15+Feb!J15+Mar!J15</f>
        <v>1845483</v>
      </c>
      <c r="G15" s="4">
        <f t="shared" si="1"/>
        <v>-1209019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Mar!F16</f>
        <v>18789827</v>
      </c>
      <c r="E16" s="4">
        <f>Jan!I16+Feb!I16+Mar!I16</f>
        <v>0</v>
      </c>
      <c r="F16" s="4">
        <f>Jan!J16+Feb!J16+Mar!J16</f>
        <v>0</v>
      </c>
      <c r="G16" s="4">
        <f t="shared" si="1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Mar!F17</f>
        <v>837030884</v>
      </c>
      <c r="E17" s="4">
        <f>Jan!I17+Feb!I17+Mar!I17</f>
        <v>0</v>
      </c>
      <c r="F17" s="4">
        <f>Jan!J17+Feb!J17+Mar!J17</f>
        <v>28492183</v>
      </c>
      <c r="G17" s="4">
        <f t="shared" si="1"/>
        <v>-28492183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Mar!F18</f>
        <v>2581302190</v>
      </c>
      <c r="E18" s="4">
        <f>Jan!I18+Feb!I18+Mar!I18</f>
        <v>0</v>
      </c>
      <c r="F18" s="4">
        <f>Jan!J18+Feb!J18+Mar!J18</f>
        <v>116320477</v>
      </c>
      <c r="G18" s="4">
        <f t="shared" si="1"/>
        <v>-116320477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Mar!F19</f>
        <v>2537796058</v>
      </c>
      <c r="E19" s="4">
        <f>Jan!I19+Feb!I19+Mar!I19</f>
        <v>37064224</v>
      </c>
      <c r="F19" s="4">
        <f>Jan!J19+Feb!J19+Mar!J19</f>
        <v>158101232</v>
      </c>
      <c r="G19" s="4">
        <f t="shared" si="1"/>
        <v>-121037008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Mar!F20</f>
        <v>7777211793</v>
      </c>
      <c r="E20" s="4">
        <f>Jan!I20+Feb!I20+Mar!I20</f>
        <v>25970226.29</v>
      </c>
      <c r="F20" s="4">
        <f>Jan!J20+Feb!J20+Mar!J20</f>
        <v>214562135.6</v>
      </c>
      <c r="G20" s="4">
        <f t="shared" si="1"/>
        <v>-188591909.3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Mar!F21</f>
        <v>276450251.4</v>
      </c>
      <c r="E21" s="4">
        <f>Jan!I21+Feb!I21+Mar!I21</f>
        <v>1899388.16</v>
      </c>
      <c r="F21" s="4">
        <f>Jan!J21+Feb!J21+Mar!J21</f>
        <v>32980883.28</v>
      </c>
      <c r="G21" s="4">
        <f t="shared" si="1"/>
        <v>-31081495.12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Mar!F22</f>
        <v>2802871414</v>
      </c>
      <c r="E22" s="4">
        <f>Jan!I22+Feb!I22+Mar!I22</f>
        <v>10846874.78</v>
      </c>
      <c r="F22" s="4">
        <f>Jan!J22+Feb!J22+Mar!J22</f>
        <v>421306739.6</v>
      </c>
      <c r="G22" s="4">
        <f t="shared" si="1"/>
        <v>-410459864.8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Mar!F23</f>
        <v>4827008791</v>
      </c>
      <c r="E23" s="4">
        <f>Jan!I23+Feb!I23+Mar!I23</f>
        <v>4204986</v>
      </c>
      <c r="F23" s="4">
        <f>Jan!J23+Feb!J23+Mar!J23</f>
        <v>313352018</v>
      </c>
      <c r="G23" s="4">
        <f t="shared" si="1"/>
        <v>-309147032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1" t="s">
        <v>36</v>
      </c>
      <c r="D24" s="6">
        <f>Mar!F24</f>
        <v>3397095496</v>
      </c>
      <c r="E24" s="4">
        <f>Jan!I24+Feb!I24+Mar!I24</f>
        <v>841511.93</v>
      </c>
      <c r="F24" s="4">
        <f>Jan!J24+Feb!J24+Mar!J24</f>
        <v>15442703.98</v>
      </c>
      <c r="G24" s="4">
        <f t="shared" si="1"/>
        <v>-14601192.05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2"/>
      <c r="B25" s="2">
        <f t="shared" si="2"/>
        <v>17</v>
      </c>
      <c r="C25" s="23" t="s">
        <v>37</v>
      </c>
      <c r="D25" s="6">
        <f>Mar!F25</f>
        <v>3951421255</v>
      </c>
      <c r="E25" s="4">
        <f>Jan!I25+Feb!I25+Mar!I25</f>
        <v>43538077</v>
      </c>
      <c r="F25" s="4">
        <f>Jan!J25+Feb!J25+Mar!J25</f>
        <v>375410796</v>
      </c>
      <c r="G25" s="4">
        <f t="shared" si="1"/>
        <v>-331872719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2"/>
      <c r="B26" s="2">
        <f t="shared" si="2"/>
        <v>18</v>
      </c>
      <c r="C26" s="23" t="s">
        <v>38</v>
      </c>
      <c r="D26" s="6">
        <f>Mar!F26</f>
        <v>6499755453</v>
      </c>
      <c r="E26" s="4">
        <f>Jan!I26+Feb!I26+Mar!I26</f>
        <v>44166778</v>
      </c>
      <c r="F26" s="4">
        <f>Jan!J26+Feb!J26+Mar!J26</f>
        <v>607311168</v>
      </c>
      <c r="G26" s="4">
        <f t="shared" si="1"/>
        <v>-563144390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Mar!F27</f>
        <v>530041321.4</v>
      </c>
      <c r="E27" s="4">
        <f>Jan!I27+Feb!I27+Mar!I27</f>
        <v>3601774.95</v>
      </c>
      <c r="F27" s="4">
        <f>Jan!J27+Feb!J27+Mar!J27</f>
        <v>1285828.52</v>
      </c>
      <c r="G27" s="4">
        <f t="shared" si="1"/>
        <v>2315946.43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0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0"/>
      <c r="B29" s="2">
        <f>1+B27</f>
        <v>20</v>
      </c>
      <c r="C29" s="3" t="s">
        <v>41</v>
      </c>
      <c r="D29" s="6">
        <f>Mar!F29</f>
        <v>234129114.4</v>
      </c>
      <c r="E29" s="4">
        <f>Jan!I29+Feb!I29+Mar!I29</f>
        <v>17421091.99</v>
      </c>
      <c r="F29" s="4">
        <f>Jan!J29+Feb!J29+Mar!J29</f>
        <v>44221905.32</v>
      </c>
      <c r="G29" s="4">
        <f t="shared" ref="G29:G32" si="3">E29-F29</f>
        <v>-26800813.33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0"/>
      <c r="B30" s="2">
        <f t="shared" ref="B30:B32" si="4">1+B29</f>
        <v>21</v>
      </c>
      <c r="C30" s="3" t="s">
        <v>42</v>
      </c>
      <c r="D30" s="6">
        <f>Mar!F30</f>
        <v>294149879.3</v>
      </c>
      <c r="E30" s="4">
        <f>Jan!I30+Feb!I30+Mar!I30</f>
        <v>13101641.99</v>
      </c>
      <c r="F30" s="4">
        <f>Jan!J30+Feb!J30+Mar!J30</f>
        <v>72601507.79</v>
      </c>
      <c r="G30" s="4">
        <f t="shared" si="3"/>
        <v>-59499865.8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Mar!F31</f>
        <v>189370862.3</v>
      </c>
      <c r="E31" s="4">
        <f>Jan!I31+Feb!I31+Mar!I31</f>
        <v>429813.64</v>
      </c>
      <c r="F31" s="4">
        <f>Jan!J31+Feb!J31+Mar!J31</f>
        <v>6561681.03</v>
      </c>
      <c r="G31" s="4">
        <f t="shared" si="3"/>
        <v>-6131867.39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Mar!F32</f>
        <v>489254658</v>
      </c>
      <c r="E32" s="4">
        <f>Jan!I32+Feb!I32+Mar!I32</f>
        <v>40199983</v>
      </c>
      <c r="F32" s="4">
        <f>Jan!J32+Feb!J32+Mar!J32</f>
        <v>132184129</v>
      </c>
      <c r="G32" s="4">
        <f t="shared" si="3"/>
        <v>-91984146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0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Mar!F34</f>
        <v>1223100088</v>
      </c>
      <c r="E34" s="4">
        <f>Jan!I34+Feb!I34+Mar!I34</f>
        <v>8414744</v>
      </c>
      <c r="F34" s="4">
        <f>Jan!J34+Feb!J34+Mar!J34</f>
        <v>92950465</v>
      </c>
      <c r="G34" s="4">
        <f>E34-F34</f>
        <v>-84535721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4" t="s">
        <v>46</v>
      </c>
      <c r="B35" s="25"/>
      <c r="C35" s="1"/>
      <c r="D35" s="26">
        <f t="shared" ref="D35:G35" si="5">SUM(D9:D34)</f>
        <v>46626585709</v>
      </c>
      <c r="E35" s="26">
        <f t="shared" si="5"/>
        <v>356823151.3</v>
      </c>
      <c r="F35" s="26">
        <f t="shared" si="5"/>
        <v>3140354210</v>
      </c>
      <c r="G35" s="26">
        <f t="shared" si="5"/>
        <v>-2783531059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0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Mar!F37</f>
        <v>27205701.42</v>
      </c>
      <c r="E37" s="4">
        <f>Jan!I37+Feb!I37+Mar!I37</f>
        <v>41428.62</v>
      </c>
      <c r="F37" s="4">
        <f>Jan!J37+Feb!J37+Mar!J37</f>
        <v>5253395.68</v>
      </c>
      <c r="G37" s="4">
        <f t="shared" ref="G37:G38" si="6">E37-F37</f>
        <v>-5211967.06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Mar!F38</f>
        <v>2215199174</v>
      </c>
      <c r="E38" s="4">
        <f>Jan!I38+Feb!I38+Mar!I38</f>
        <v>245768807</v>
      </c>
      <c r="F38" s="4">
        <f>Jan!J38+Feb!J38+Mar!J38</f>
        <v>178921052</v>
      </c>
      <c r="G38" s="4">
        <f t="shared" si="6"/>
        <v>66847755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0" t="s">
        <v>109</v>
      </c>
      <c r="B39" s="2"/>
      <c r="C39" s="3"/>
      <c r="D39" s="6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2">
        <f>1+B38</f>
        <v>27</v>
      </c>
      <c r="C40" s="3" t="s">
        <v>128</v>
      </c>
      <c r="D40" s="6">
        <f>Mar!F40</f>
        <v>509686.99</v>
      </c>
      <c r="E40" s="4">
        <f>Feb!I40+Mar!I40</f>
        <v>509098.82</v>
      </c>
      <c r="F40" s="4">
        <f>Feb!J40+Mar!J40</f>
        <v>0</v>
      </c>
      <c r="G40" s="4">
        <f>E40-F40</f>
        <v>509098.82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24" t="s">
        <v>50</v>
      </c>
      <c r="B41" s="25"/>
      <c r="C41" s="1"/>
      <c r="D41" s="26">
        <f t="shared" ref="D41:G41" si="7">SUM(D37:D38)+D40</f>
        <v>2242914562</v>
      </c>
      <c r="E41" s="26">
        <f t="shared" si="7"/>
        <v>246319334.4</v>
      </c>
      <c r="F41" s="26">
        <f t="shared" si="7"/>
        <v>184174447.7</v>
      </c>
      <c r="G41" s="26">
        <f t="shared" si="7"/>
        <v>62144886.76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0" customHeight="1">
      <c r="A42" s="1" t="s">
        <v>51</v>
      </c>
      <c r="B42" s="25"/>
      <c r="C42" s="1"/>
      <c r="D42" s="26">
        <f t="shared" ref="D42:G42" si="8">D35+D41</f>
        <v>48869500271</v>
      </c>
      <c r="E42" s="26">
        <f t="shared" si="8"/>
        <v>603142485.8</v>
      </c>
      <c r="F42" s="26">
        <f t="shared" si="8"/>
        <v>3324528658</v>
      </c>
      <c r="G42" s="26">
        <f t="shared" si="8"/>
        <v>-2721386172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0" customHeight="1">
      <c r="A43" s="1" t="s">
        <v>52</v>
      </c>
      <c r="B43" s="2"/>
      <c r="C43" s="3"/>
      <c r="D43" s="30"/>
      <c r="E43" s="30"/>
      <c r="F43" s="30"/>
      <c r="G43" s="3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20" t="s">
        <v>20</v>
      </c>
      <c r="B44" s="2"/>
      <c r="C44" s="3"/>
      <c r="D44" s="6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>1+B40</f>
        <v>28</v>
      </c>
      <c r="C45" s="3" t="s">
        <v>53</v>
      </c>
      <c r="D45" s="6">
        <f>Mar!F45</f>
        <v>368392425.8</v>
      </c>
      <c r="E45" s="4">
        <f>Jan!I43+Feb!I45+Mar!I45</f>
        <v>1820702.94</v>
      </c>
      <c r="F45" s="4">
        <f>Jan!J43+Feb!J45+Mar!J45</f>
        <v>11914004.14</v>
      </c>
      <c r="G45" s="4">
        <f t="shared" ref="G45:G54" si="9">E45-F45</f>
        <v>-10093301.2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ref="B46:B54" si="10">1+B45</f>
        <v>29</v>
      </c>
      <c r="C46" s="3" t="s">
        <v>54</v>
      </c>
      <c r="D46" s="6">
        <f>Mar!F46</f>
        <v>111253100</v>
      </c>
      <c r="E46" s="4">
        <f>Jan!I44+Feb!I46+Mar!I46</f>
        <v>937521.68</v>
      </c>
      <c r="F46" s="4">
        <f>Jan!J44+Feb!J46+Mar!J46</f>
        <v>4015149.27</v>
      </c>
      <c r="G46" s="4">
        <f t="shared" si="9"/>
        <v>-3077627.59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30</v>
      </c>
      <c r="C47" s="3" t="s">
        <v>55</v>
      </c>
      <c r="D47" s="6">
        <f>Mar!F47</f>
        <v>535915291</v>
      </c>
      <c r="E47" s="4">
        <f>Jan!I45+Feb!I47+Mar!I47</f>
        <v>1261593</v>
      </c>
      <c r="F47" s="4">
        <f>Jan!J45+Feb!J47+Mar!J47</f>
        <v>20702616</v>
      </c>
      <c r="G47" s="4">
        <f t="shared" si="9"/>
        <v>-19441023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31</v>
      </c>
      <c r="C48" s="3" t="s">
        <v>56</v>
      </c>
      <c r="D48" s="6">
        <f>Mar!F48</f>
        <v>420916169</v>
      </c>
      <c r="E48" s="4">
        <f>Jan!I46+Feb!I48+Mar!I48</f>
        <v>22639926</v>
      </c>
      <c r="F48" s="4">
        <f>Jan!J46+Feb!J48+Mar!J48</f>
        <v>45030874</v>
      </c>
      <c r="G48" s="4">
        <f t="shared" si="9"/>
        <v>-22390948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32</v>
      </c>
      <c r="C49" s="3" t="s">
        <v>57</v>
      </c>
      <c r="D49" s="6">
        <f>Mar!F49</f>
        <v>314747787</v>
      </c>
      <c r="E49" s="4">
        <f>Jan!I47+Feb!I49+Mar!I49</f>
        <v>0</v>
      </c>
      <c r="F49" s="4">
        <f>Jan!J47+Feb!J49+Mar!J49</f>
        <v>0</v>
      </c>
      <c r="G49" s="4">
        <f t="shared" si="9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2">
        <f t="shared" si="10"/>
        <v>33</v>
      </c>
      <c r="C50" s="3" t="s">
        <v>58</v>
      </c>
      <c r="D50" s="6">
        <f>Mar!F50</f>
        <v>372821901</v>
      </c>
      <c r="E50" s="4">
        <f>Jan!I48+Feb!I50+Mar!I50</f>
        <v>84370</v>
      </c>
      <c r="F50" s="4">
        <f>Jan!J48+Feb!J50+Mar!J50</f>
        <v>14992357</v>
      </c>
      <c r="G50" s="4">
        <f t="shared" si="9"/>
        <v>-14907987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34</v>
      </c>
      <c r="C51" s="3" t="s">
        <v>59</v>
      </c>
      <c r="D51" s="6">
        <f>Mar!F51</f>
        <v>1585825024</v>
      </c>
      <c r="E51" s="4">
        <f>Jan!I49+Feb!I51+Mar!I51</f>
        <v>3019317</v>
      </c>
      <c r="F51" s="4">
        <f>Jan!J49+Feb!J51+Mar!J51</f>
        <v>43241444</v>
      </c>
      <c r="G51" s="4">
        <f t="shared" si="9"/>
        <v>-40222127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1.25" customHeight="1">
      <c r="A52" s="20"/>
      <c r="B52" s="2">
        <f t="shared" si="10"/>
        <v>35</v>
      </c>
      <c r="C52" s="3" t="s">
        <v>60</v>
      </c>
      <c r="D52" s="6">
        <f>Mar!F52</f>
        <v>112016947</v>
      </c>
      <c r="E52" s="4">
        <f>Jan!I50+Feb!I52+Mar!I52</f>
        <v>0</v>
      </c>
      <c r="F52" s="4">
        <f>Jan!J50+Feb!J52+Mar!J52</f>
        <v>1711051</v>
      </c>
      <c r="G52" s="4">
        <f t="shared" si="9"/>
        <v>-1711051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2">
        <f t="shared" si="10"/>
        <v>36</v>
      </c>
      <c r="C53" s="3" t="s">
        <v>61</v>
      </c>
      <c r="D53" s="6">
        <f>Mar!F53</f>
        <v>4547897815</v>
      </c>
      <c r="E53" s="4">
        <f>Jan!I51+Feb!I53+Mar!I53</f>
        <v>14275627</v>
      </c>
      <c r="F53" s="4">
        <f>Jan!J51+Feb!J53+Mar!J53</f>
        <v>248701027</v>
      </c>
      <c r="G53" s="4">
        <f t="shared" si="9"/>
        <v>-234425400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 t="shared" si="10"/>
        <v>37</v>
      </c>
      <c r="C54" s="3" t="s">
        <v>62</v>
      </c>
      <c r="D54" s="6">
        <f>Mar!F54</f>
        <v>414586966</v>
      </c>
      <c r="E54" s="4">
        <f>Jan!I52+Feb!I54+Mar!I54</f>
        <v>0</v>
      </c>
      <c r="F54" s="4">
        <f>Jan!J52+Feb!J54+Mar!J54</f>
        <v>29175358</v>
      </c>
      <c r="G54" s="4">
        <f t="shared" si="9"/>
        <v>-29175358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20" t="s">
        <v>40</v>
      </c>
      <c r="B55" s="2"/>
      <c r="C55" s="3"/>
      <c r="D55" s="6"/>
      <c r="E55" s="4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20"/>
      <c r="B56" s="2">
        <f>1+B54</f>
        <v>38</v>
      </c>
      <c r="C56" s="3" t="s">
        <v>129</v>
      </c>
      <c r="D56" s="6">
        <f>Mar!F56</f>
        <v>1032325811</v>
      </c>
      <c r="E56" s="4">
        <f>Jan!I54+Feb!I56+Mar!I56</f>
        <v>113212909</v>
      </c>
      <c r="F56" s="4">
        <f>Jan!J54+Feb!J56+Mar!J56</f>
        <v>26391427</v>
      </c>
      <c r="G56" s="4">
        <f t="shared" ref="G56:G59" si="11">E56-F56</f>
        <v>86821482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2">
        <f t="shared" ref="B57:B59" si="12">1+B56</f>
        <v>39</v>
      </c>
      <c r="C57" s="3" t="s">
        <v>64</v>
      </c>
      <c r="D57" s="6">
        <f>Mar!F57</f>
        <v>66510904</v>
      </c>
      <c r="E57" s="4">
        <f>Jan!I55+Feb!I57+Mar!I57</f>
        <v>137500</v>
      </c>
      <c r="F57" s="4">
        <f>Jan!J55+Feb!J57+Mar!J57</f>
        <v>2486909</v>
      </c>
      <c r="G57" s="4">
        <f t="shared" si="11"/>
        <v>-2349409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/>
      <c r="B58" s="2">
        <f t="shared" si="12"/>
        <v>40</v>
      </c>
      <c r="C58" s="3" t="s">
        <v>65</v>
      </c>
      <c r="D58" s="6">
        <f>Mar!F58</f>
        <v>49953354</v>
      </c>
      <c r="E58" s="4">
        <f>Jan!I56+Feb!I58+Mar!I58</f>
        <v>28500</v>
      </c>
      <c r="F58" s="4">
        <f>Jan!J56+Feb!J58+Mar!J58</f>
        <v>494374</v>
      </c>
      <c r="G58" s="4">
        <f t="shared" si="11"/>
        <v>-465874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2">
        <f t="shared" si="12"/>
        <v>41</v>
      </c>
      <c r="C59" s="3" t="s">
        <v>66</v>
      </c>
      <c r="D59" s="6">
        <f>Mar!F59</f>
        <v>44888034</v>
      </c>
      <c r="E59" s="4">
        <f>Jan!I57+Feb!I59+Mar!I59</f>
        <v>30000</v>
      </c>
      <c r="F59" s="4">
        <f>Jan!J57+Feb!J59+Mar!J59</f>
        <v>1343841</v>
      </c>
      <c r="G59" s="4">
        <f t="shared" si="11"/>
        <v>-1313841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4" t="s">
        <v>46</v>
      </c>
      <c r="B60" s="24"/>
      <c r="C60" s="1"/>
      <c r="D60" s="26">
        <f t="shared" ref="D60:G60" si="13">SUM(D45:D59)</f>
        <v>9978051529</v>
      </c>
      <c r="E60" s="26">
        <f t="shared" si="13"/>
        <v>157447966.6</v>
      </c>
      <c r="F60" s="26">
        <f t="shared" si="13"/>
        <v>450200431.4</v>
      </c>
      <c r="G60" s="26">
        <f t="shared" si="13"/>
        <v>-292752464.8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0" customHeight="1">
      <c r="A61" s="20" t="s">
        <v>47</v>
      </c>
      <c r="B61" s="2"/>
      <c r="C61" s="3"/>
      <c r="D61" s="6"/>
      <c r="E61" s="4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20"/>
      <c r="B62" s="2">
        <f>1+B59</f>
        <v>42</v>
      </c>
      <c r="C62" s="3" t="s">
        <v>67</v>
      </c>
      <c r="D62" s="6">
        <f>Mar!F62</f>
        <v>70754162.1</v>
      </c>
      <c r="E62" s="4">
        <f>Jan!I60+Feb!I62+Mar!I62</f>
        <v>60396.88</v>
      </c>
      <c r="F62" s="4">
        <f>Jan!J60+Feb!J62+Mar!J62</f>
        <v>0</v>
      </c>
      <c r="G62" s="4">
        <f t="shared" ref="G62:G65" si="14">E62-F62</f>
        <v>60396.88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0"/>
      <c r="B63" s="2">
        <f t="shared" ref="B63:B65" si="15">1+B62</f>
        <v>43</v>
      </c>
      <c r="C63" s="3" t="s">
        <v>68</v>
      </c>
      <c r="D63" s="6">
        <f>Mar!F63</f>
        <v>321235191</v>
      </c>
      <c r="E63" s="4">
        <f>Jan!I61+Feb!I63+Mar!I63</f>
        <v>0</v>
      </c>
      <c r="F63" s="4">
        <f>Jan!J61+Feb!J63+Mar!J63</f>
        <v>12165036</v>
      </c>
      <c r="G63" s="4">
        <f t="shared" si="14"/>
        <v>-12165036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/>
      <c r="B64" s="2">
        <f t="shared" si="15"/>
        <v>44</v>
      </c>
      <c r="C64" s="3" t="s">
        <v>69</v>
      </c>
      <c r="D64" s="6">
        <f>Mar!F64</f>
        <v>1661894523</v>
      </c>
      <c r="E64" s="4">
        <f>Jan!I62+Feb!I64+Mar!I64</f>
        <v>11628286</v>
      </c>
      <c r="F64" s="4">
        <f>Jan!J62+Feb!J64+Mar!J64</f>
        <v>129292405</v>
      </c>
      <c r="G64" s="4">
        <f t="shared" si="14"/>
        <v>-117664119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2">
        <f t="shared" si="15"/>
        <v>45</v>
      </c>
      <c r="C65" s="3" t="s">
        <v>70</v>
      </c>
      <c r="D65" s="6">
        <f>Mar!F65</f>
        <v>206297269</v>
      </c>
      <c r="E65" s="4">
        <f>Jan!I63+Feb!I65+Mar!I65</f>
        <v>433504</v>
      </c>
      <c r="F65" s="4">
        <f>Jan!J63+Feb!J65+Mar!J65</f>
        <v>15352450</v>
      </c>
      <c r="G65" s="4">
        <f t="shared" si="14"/>
        <v>-14918946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4" t="s">
        <v>50</v>
      </c>
      <c r="B66" s="25"/>
      <c r="C66" s="1"/>
      <c r="D66" s="26">
        <f t="shared" ref="D66:G66" si="16">SUM(D62:D65)</f>
        <v>2260181145</v>
      </c>
      <c r="E66" s="26">
        <f t="shared" si="16"/>
        <v>12122186.88</v>
      </c>
      <c r="F66" s="26">
        <f t="shared" si="16"/>
        <v>156809891</v>
      </c>
      <c r="G66" s="26">
        <f t="shared" si="16"/>
        <v>-144687704.1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0" customHeight="1">
      <c r="A67" s="1" t="s">
        <v>71</v>
      </c>
      <c r="B67" s="25"/>
      <c r="C67" s="1"/>
      <c r="D67" s="26">
        <f t="shared" ref="D67:G67" si="17">D60+D66</f>
        <v>12238232674</v>
      </c>
      <c r="E67" s="26">
        <f t="shared" si="17"/>
        <v>169570153.5</v>
      </c>
      <c r="F67" s="26">
        <f t="shared" si="17"/>
        <v>607010322.4</v>
      </c>
      <c r="G67" s="26">
        <f t="shared" si="17"/>
        <v>-437440168.9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0" customHeight="1">
      <c r="A68" s="1" t="s">
        <v>72</v>
      </c>
      <c r="B68" s="2"/>
      <c r="C68" s="3"/>
      <c r="D68" s="6"/>
      <c r="E68" s="6"/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20" t="s">
        <v>20</v>
      </c>
      <c r="B69" s="2"/>
      <c r="C69" s="3"/>
      <c r="D69" s="6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2">
        <f>1+B65</f>
        <v>46</v>
      </c>
      <c r="C70" s="3" t="s">
        <v>73</v>
      </c>
      <c r="D70" s="6">
        <f>Mar!F70</f>
        <v>34309117865</v>
      </c>
      <c r="E70" s="4">
        <f>Jan!I68+Feb!I70+Mar!I70</f>
        <v>619041703</v>
      </c>
      <c r="F70" s="4">
        <f>Jan!J68+Feb!J70+Mar!J70</f>
        <v>1003571948</v>
      </c>
      <c r="G70" s="4">
        <f t="shared" ref="G70:G80" si="18">E70-F70</f>
        <v>-384530245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ref="B71:B80" si="19">1+B70</f>
        <v>47</v>
      </c>
      <c r="C71" s="3" t="s">
        <v>74</v>
      </c>
      <c r="D71" s="6">
        <f>Mar!F71</f>
        <v>227012988.1</v>
      </c>
      <c r="E71" s="4">
        <f>Jan!I69+Feb!I71+Mar!I71</f>
        <v>737967.1</v>
      </c>
      <c r="F71" s="4">
        <f>Jan!J69+Feb!J71+Mar!J71</f>
        <v>17072676.79</v>
      </c>
      <c r="G71" s="4">
        <f t="shared" si="18"/>
        <v>-16334709.69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48</v>
      </c>
      <c r="C72" s="3" t="s">
        <v>75</v>
      </c>
      <c r="D72" s="6">
        <f>Mar!F72</f>
        <v>889637383</v>
      </c>
      <c r="E72" s="4">
        <f>Jan!I70+Feb!I72+Mar!I72</f>
        <v>10176925.45</v>
      </c>
      <c r="F72" s="4">
        <f>Jan!J70+Feb!J72+Mar!J72</f>
        <v>35383325.9</v>
      </c>
      <c r="G72" s="4">
        <f t="shared" si="18"/>
        <v>-25206400.45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1"/>
      <c r="B73" s="2">
        <f t="shared" si="19"/>
        <v>49</v>
      </c>
      <c r="C73" s="3" t="s">
        <v>76</v>
      </c>
      <c r="D73" s="6">
        <f>Mar!F73</f>
        <v>169524737</v>
      </c>
      <c r="E73" s="4">
        <f>Jan!I71+Feb!I73+Mar!I73</f>
        <v>0</v>
      </c>
      <c r="F73" s="4">
        <f>Jan!J71+Feb!J73+Mar!J73</f>
        <v>433089</v>
      </c>
      <c r="G73" s="4">
        <f t="shared" si="18"/>
        <v>-433089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50</v>
      </c>
      <c r="C74" s="3" t="s">
        <v>77</v>
      </c>
      <c r="D74" s="6">
        <f>Mar!F74</f>
        <v>697512464</v>
      </c>
      <c r="E74" s="4">
        <f>Jan!I72+Feb!I74+Mar!I74</f>
        <v>5126285</v>
      </c>
      <c r="F74" s="4">
        <f>Jan!J72+Feb!J74+Mar!J74</f>
        <v>38717573</v>
      </c>
      <c r="G74" s="4">
        <f t="shared" si="18"/>
        <v>-33591288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51</v>
      </c>
      <c r="C75" s="3" t="s">
        <v>78</v>
      </c>
      <c r="D75" s="6">
        <f>Mar!F75</f>
        <v>1261625319</v>
      </c>
      <c r="E75" s="4">
        <f>Jan!I73+Feb!I75+Mar!I75</f>
        <v>5639169</v>
      </c>
      <c r="F75" s="4">
        <f>Jan!J73+Feb!J75+Mar!J75</f>
        <v>33712953</v>
      </c>
      <c r="G75" s="4">
        <f t="shared" si="18"/>
        <v>-28073784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52</v>
      </c>
      <c r="C76" s="3" t="s">
        <v>79</v>
      </c>
      <c r="D76" s="6">
        <f>Mar!F76</f>
        <v>472119457</v>
      </c>
      <c r="E76" s="4">
        <f>Jan!I74+Feb!I76+Mar!I76</f>
        <v>0</v>
      </c>
      <c r="F76" s="4">
        <f>Jan!J74+Feb!J76+Mar!J76</f>
        <v>10881908</v>
      </c>
      <c r="G76" s="4">
        <f t="shared" si="18"/>
        <v>-10881908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53</v>
      </c>
      <c r="C77" s="3" t="s">
        <v>80</v>
      </c>
      <c r="D77" s="6">
        <f>Mar!F77</f>
        <v>323008443.2</v>
      </c>
      <c r="E77" s="4">
        <f>Jan!I75+Feb!I77+Mar!I77</f>
        <v>45737512.37</v>
      </c>
      <c r="F77" s="4">
        <f>Jan!J75+Feb!J77+Mar!J77</f>
        <v>2807250.05</v>
      </c>
      <c r="G77" s="4">
        <f t="shared" si="18"/>
        <v>42930262.32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2">
        <f t="shared" si="19"/>
        <v>54</v>
      </c>
      <c r="C78" s="3" t="s">
        <v>81</v>
      </c>
      <c r="D78" s="6">
        <f>Mar!F78</f>
        <v>2110852207</v>
      </c>
      <c r="E78" s="4">
        <f>Jan!I76+Feb!I78+Mar!I78</f>
        <v>201099384.3</v>
      </c>
      <c r="F78" s="4">
        <f>Jan!J76+Feb!J78+Mar!J78</f>
        <v>6561963.04</v>
      </c>
      <c r="G78" s="4">
        <f t="shared" si="18"/>
        <v>194537421.3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 t="shared" si="19"/>
        <v>55</v>
      </c>
      <c r="C79" s="3" t="s">
        <v>82</v>
      </c>
      <c r="D79" s="6">
        <f>Mar!F79</f>
        <v>6000363408</v>
      </c>
      <c r="E79" s="4">
        <f>Jan!I77+Feb!I79+Mar!I79</f>
        <v>158533229</v>
      </c>
      <c r="F79" s="4">
        <f>Jan!J77+Feb!J79+Mar!J79</f>
        <v>419437768</v>
      </c>
      <c r="G79" s="4">
        <f t="shared" si="18"/>
        <v>-260904539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2">
        <f t="shared" si="19"/>
        <v>56</v>
      </c>
      <c r="C80" s="3" t="s">
        <v>83</v>
      </c>
      <c r="D80" s="6">
        <f>Mar!F80</f>
        <v>137684790</v>
      </c>
      <c r="E80" s="4">
        <f>Jan!I78+Feb!I80+Mar!I80</f>
        <v>979330</v>
      </c>
      <c r="F80" s="4">
        <f>Jan!J78+Feb!J80+Mar!J80</f>
        <v>3254245</v>
      </c>
      <c r="G80" s="4">
        <f t="shared" si="18"/>
        <v>-2274915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0" t="s">
        <v>84</v>
      </c>
      <c r="B81" s="2"/>
      <c r="C81" s="3"/>
      <c r="D81" s="6" t="str">
        <f>Mar!F81</f>
        <v/>
      </c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1+B80</f>
        <v>57</v>
      </c>
      <c r="C82" s="3" t="s">
        <v>130</v>
      </c>
      <c r="D82" s="6">
        <f>Mar!F82</f>
        <v>0</v>
      </c>
      <c r="E82" s="4">
        <f>Jan!I80+Feb!I82+Mar!I82</f>
        <v>0</v>
      </c>
      <c r="F82" s="4">
        <f>Jan!J80+Feb!J82+Mar!J82</f>
        <v>0</v>
      </c>
      <c r="G82" s="4">
        <f>E82-F82</f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24" t="s">
        <v>46</v>
      </c>
      <c r="B83" s="1"/>
      <c r="C83" s="1"/>
      <c r="D83" s="26">
        <f t="shared" ref="D83:G83" si="20">SUM(D70:D82)</f>
        <v>46598459061</v>
      </c>
      <c r="E83" s="26">
        <f t="shared" si="20"/>
        <v>1047071505</v>
      </c>
      <c r="F83" s="26">
        <f t="shared" si="20"/>
        <v>1571834700</v>
      </c>
      <c r="G83" s="26">
        <f t="shared" si="20"/>
        <v>-524763194.5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20" t="s">
        <v>47</v>
      </c>
      <c r="B84" s="2"/>
      <c r="C84" s="3"/>
      <c r="D84" s="6"/>
      <c r="E84" s="6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2">
        <f>B82+1</f>
        <v>58</v>
      </c>
      <c r="C85" s="3" t="s">
        <v>86</v>
      </c>
      <c r="D85" s="6">
        <f>Mar!F85</f>
        <v>11611170065</v>
      </c>
      <c r="E85" s="4">
        <f>Jan!I83+Feb!I85+Mar!I85</f>
        <v>147431251</v>
      </c>
      <c r="F85" s="4">
        <f>Jan!J83+Feb!J85+Mar!J85</f>
        <v>396902625</v>
      </c>
      <c r="G85" s="4">
        <f t="shared" ref="G85:G91" si="21">E85-F85</f>
        <v>-249471374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ref="B86:B91" si="22">1+B85</f>
        <v>59</v>
      </c>
      <c r="C86" s="3" t="s">
        <v>87</v>
      </c>
      <c r="D86" s="6">
        <f>Mar!F86</f>
        <v>49175553.39</v>
      </c>
      <c r="E86" s="4">
        <f>Jan!I84+Feb!I86+Mar!I86</f>
        <v>0</v>
      </c>
      <c r="F86" s="4">
        <f>Jan!J84+Feb!J86+Mar!J86</f>
        <v>63517.5</v>
      </c>
      <c r="G86" s="4">
        <f t="shared" si="21"/>
        <v>-63517.5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60</v>
      </c>
      <c r="C87" s="3" t="s">
        <v>88</v>
      </c>
      <c r="D87" s="6">
        <f>Mar!F87</f>
        <v>319850773</v>
      </c>
      <c r="E87" s="4">
        <f>Jan!I85+Feb!I87+Mar!I87</f>
        <v>896042</v>
      </c>
      <c r="F87" s="4">
        <f>Jan!J85+Feb!J87+Mar!J87</f>
        <v>10182667</v>
      </c>
      <c r="G87" s="4">
        <f t="shared" si="21"/>
        <v>-9286625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1.25" customHeight="1">
      <c r="A88" s="20"/>
      <c r="B88" s="2">
        <f t="shared" si="22"/>
        <v>61</v>
      </c>
      <c r="C88" s="3" t="s">
        <v>89</v>
      </c>
      <c r="D88" s="6">
        <f>Mar!F88</f>
        <v>64380384</v>
      </c>
      <c r="E88" s="4">
        <f>Jan!I86+Feb!I88+Mar!I88</f>
        <v>0</v>
      </c>
      <c r="F88" s="4">
        <f>Jan!J86+Feb!J88+Mar!J88</f>
        <v>0</v>
      </c>
      <c r="G88" s="4">
        <f t="shared" si="21"/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2">
        <f t="shared" si="22"/>
        <v>62</v>
      </c>
      <c r="C89" s="3" t="s">
        <v>90</v>
      </c>
      <c r="D89" s="6">
        <f>Mar!F89</f>
        <v>1556951492</v>
      </c>
      <c r="E89" s="4">
        <f>Jan!I87+Feb!I89+Mar!I89</f>
        <v>121153</v>
      </c>
      <c r="F89" s="4">
        <f>Jan!J87+Feb!J89+Mar!J89</f>
        <v>51772613</v>
      </c>
      <c r="G89" s="4">
        <f t="shared" si="21"/>
        <v>-51651460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 t="shared" si="22"/>
        <v>63</v>
      </c>
      <c r="C90" s="3" t="s">
        <v>91</v>
      </c>
      <c r="D90" s="6" t="str">
        <f>Mar!F90</f>
        <v>#REF!</v>
      </c>
      <c r="E90" s="4" t="str">
        <f>Jan!I88+'Feb UPDATED'!I90+Mar!I90</f>
        <v>#REF!</v>
      </c>
      <c r="F90" s="4" t="str">
        <f>Jan!J88+'Feb UPDATED'!J90+Mar!J90</f>
        <v>#REF!</v>
      </c>
      <c r="G90" s="4" t="str">
        <f t="shared" si="21"/>
        <v>#REF!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2">
        <f t="shared" si="22"/>
        <v>64</v>
      </c>
      <c r="C91" s="3" t="s">
        <v>92</v>
      </c>
      <c r="D91" s="6">
        <f>Mar!F91</f>
        <v>394863753</v>
      </c>
      <c r="E91" s="4">
        <f>Jan!I89+Feb!I91+Mar!I91</f>
        <v>12917391</v>
      </c>
      <c r="F91" s="4">
        <f>Jan!J89+Feb!J91+Mar!J91</f>
        <v>74824417</v>
      </c>
      <c r="G91" s="4">
        <f t="shared" si="21"/>
        <v>-61907026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24" t="s">
        <v>93</v>
      </c>
      <c r="B92" s="25"/>
      <c r="C92" s="33"/>
      <c r="D92" s="26" t="str">
        <f t="shared" ref="D92:G92" si="23">SUM(D85:D91)</f>
        <v>#REF!</v>
      </c>
      <c r="E92" s="26" t="str">
        <f t="shared" si="23"/>
        <v>#REF!</v>
      </c>
      <c r="F92" s="26" t="str">
        <f t="shared" si="23"/>
        <v>#REF!</v>
      </c>
      <c r="G92" s="26" t="str">
        <f t="shared" si="23"/>
        <v>#REF!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2">
        <f>1+B91</f>
        <v>65</v>
      </c>
      <c r="C93" s="3" t="s">
        <v>94</v>
      </c>
      <c r="D93" s="6">
        <f>Mar!F93</f>
        <v>696025029</v>
      </c>
      <c r="E93" s="4">
        <f>Jan!I91+Feb!I93+Mar!I93</f>
        <v>6290235</v>
      </c>
      <c r="F93" s="4">
        <f>Jan!J91+Feb!J93+Mar!J93</f>
        <v>65546038</v>
      </c>
      <c r="G93" s="4">
        <f>E93-F93</f>
        <v>-59255803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4" t="s">
        <v>95</v>
      </c>
      <c r="B94" s="33"/>
      <c r="C94" s="1"/>
      <c r="D94" s="26">
        <f t="shared" ref="D94:G94" si="24">SUM(D93)</f>
        <v>696025029</v>
      </c>
      <c r="E94" s="26">
        <f t="shared" si="24"/>
        <v>6290235</v>
      </c>
      <c r="F94" s="26">
        <f t="shared" si="24"/>
        <v>65546038</v>
      </c>
      <c r="G94" s="26">
        <f t="shared" si="24"/>
        <v>-59255803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1" t="s">
        <v>96</v>
      </c>
      <c r="B95" s="25"/>
      <c r="C95" s="33"/>
      <c r="D95" s="26" t="str">
        <f t="shared" ref="D95:G95" si="25">D83+D92+D94</f>
        <v>#REF!</v>
      </c>
      <c r="E95" s="26" t="str">
        <f t="shared" si="25"/>
        <v>#REF!</v>
      </c>
      <c r="F95" s="26" t="str">
        <f t="shared" si="25"/>
        <v>#REF!</v>
      </c>
      <c r="G95" s="26" t="str">
        <f t="shared" si="25"/>
        <v>#REF!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1" t="s">
        <v>97</v>
      </c>
      <c r="B96" s="2"/>
      <c r="C96" s="34"/>
      <c r="D96" s="6"/>
      <c r="E96" s="6"/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0" t="s">
        <v>20</v>
      </c>
      <c r="B97" s="2"/>
      <c r="C97" s="34"/>
      <c r="D97" s="6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20"/>
      <c r="B98" s="2">
        <f>B93+1</f>
        <v>66</v>
      </c>
      <c r="C98" s="34" t="s">
        <v>98</v>
      </c>
      <c r="D98" s="6">
        <f>Mar!F98</f>
        <v>176328034.8</v>
      </c>
      <c r="E98" s="4">
        <f>Jan!I96+Feb!I98+Mar!I98</f>
        <v>156000</v>
      </c>
      <c r="F98" s="4">
        <f>Jan!J96+Feb!J98+Mar!J98</f>
        <v>107291.09</v>
      </c>
      <c r="G98" s="4">
        <f t="shared" ref="G98:G101" si="26">E98-F98</f>
        <v>48708.91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0"/>
      <c r="B99" s="2">
        <f t="shared" ref="B99:B101" si="27">B98+1</f>
        <v>67</v>
      </c>
      <c r="C99" s="3" t="s">
        <v>99</v>
      </c>
      <c r="D99" s="6">
        <f>Mar!F99</f>
        <v>18630222188</v>
      </c>
      <c r="E99" s="4">
        <f>Jan!I97+Feb!I99+Mar!I99</f>
        <v>1076795</v>
      </c>
      <c r="F99" s="4">
        <f>Jan!J97+Feb!J99+Mar!J99</f>
        <v>992732752</v>
      </c>
      <c r="G99" s="4">
        <f t="shared" si="26"/>
        <v>-991655957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20"/>
      <c r="B100" s="2">
        <f t="shared" si="27"/>
        <v>68</v>
      </c>
      <c r="C100" s="3" t="s">
        <v>100</v>
      </c>
      <c r="D100" s="6">
        <f>Mar!F100</f>
        <v>2485577525</v>
      </c>
      <c r="E100" s="4">
        <f>Jan!I98+Feb!I100+Mar!I100</f>
        <v>346452721</v>
      </c>
      <c r="F100" s="4">
        <f>Jan!J98+Feb!J100+Mar!J100</f>
        <v>320616332</v>
      </c>
      <c r="G100" s="4">
        <f t="shared" si="26"/>
        <v>25836389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1"/>
      <c r="B101" s="2">
        <f t="shared" si="27"/>
        <v>69</v>
      </c>
      <c r="C101" s="3" t="s">
        <v>101</v>
      </c>
      <c r="D101" s="6">
        <f>Mar!F101</f>
        <v>10291534168</v>
      </c>
      <c r="E101" s="4">
        <f>Jan!I99+Feb!I101+Mar!I101</f>
        <v>1561794914</v>
      </c>
      <c r="F101" s="4">
        <f>Jan!J99+Feb!J101+Mar!J101</f>
        <v>2047936873</v>
      </c>
      <c r="G101" s="4">
        <f t="shared" si="26"/>
        <v>-486141959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0" t="s">
        <v>40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1+B101</f>
        <v>70</v>
      </c>
      <c r="C103" s="3" t="s">
        <v>99</v>
      </c>
      <c r="D103" s="6">
        <f>Mar!F103</f>
        <v>15394852275</v>
      </c>
      <c r="E103" s="4">
        <f>Jan!I101+Feb!I103+Mar!I103</f>
        <v>5048361234</v>
      </c>
      <c r="F103" s="4">
        <f>Jan!J101+Feb!J103+Mar!J103</f>
        <v>3517846161</v>
      </c>
      <c r="G103" s="4">
        <f>E103-F103</f>
        <v>1530515073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4" t="s">
        <v>46</v>
      </c>
      <c r="B104" s="2"/>
      <c r="C104" s="3"/>
      <c r="D104" s="26">
        <f t="shared" ref="D104:G104" si="28">SUM(D98:D101)+D103</f>
        <v>46978514191</v>
      </c>
      <c r="E104" s="26">
        <f t="shared" si="28"/>
        <v>6957841664</v>
      </c>
      <c r="F104" s="26">
        <f t="shared" si="28"/>
        <v>6879239409</v>
      </c>
      <c r="G104" s="26">
        <f t="shared" si="28"/>
        <v>78602254.91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20" t="s">
        <v>47</v>
      </c>
      <c r="B105" s="2"/>
      <c r="C105" s="3"/>
      <c r="D105" s="6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/>
      <c r="B106" s="2">
        <f>1+B103</f>
        <v>71</v>
      </c>
      <c r="C106" s="3" t="s">
        <v>102</v>
      </c>
      <c r="D106" s="6">
        <f>Mar!F106</f>
        <v>1320636039</v>
      </c>
      <c r="E106" s="4">
        <f>Jan!I104+Feb!I106+Mar!I106</f>
        <v>149373870</v>
      </c>
      <c r="F106" s="4">
        <f>Jan!J104+Feb!J106+Mar!J106</f>
        <v>271595898</v>
      </c>
      <c r="G106" s="4">
        <f>E106-F106</f>
        <v>-122222028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4" t="s">
        <v>93</v>
      </c>
      <c r="B107" s="2"/>
      <c r="C107" s="3"/>
      <c r="D107" s="26">
        <f t="shared" ref="D107:G107" si="29">SUM(D106)</f>
        <v>1320636039</v>
      </c>
      <c r="E107" s="26">
        <f t="shared" si="29"/>
        <v>149373870</v>
      </c>
      <c r="F107" s="26">
        <f t="shared" si="29"/>
        <v>271595898</v>
      </c>
      <c r="G107" s="26">
        <f t="shared" si="29"/>
        <v>-122222028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1" t="s">
        <v>103</v>
      </c>
      <c r="B108" s="2"/>
      <c r="C108" s="3"/>
      <c r="D108" s="26">
        <f t="shared" ref="D108:G108" si="30">D104+D107</f>
        <v>48299150230</v>
      </c>
      <c r="E108" s="26">
        <f t="shared" si="30"/>
        <v>7107215534</v>
      </c>
      <c r="F108" s="26">
        <f t="shared" si="30"/>
        <v>7150835307</v>
      </c>
      <c r="G108" s="26">
        <f t="shared" si="30"/>
        <v>-43619773.09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 t="s">
        <v>104</v>
      </c>
      <c r="B109" s="2"/>
      <c r="C109" s="3"/>
      <c r="D109" s="30"/>
      <c r="E109" s="30"/>
      <c r="F109" s="30"/>
      <c r="G109" s="3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20" t="s">
        <v>105</v>
      </c>
      <c r="B110" s="2"/>
      <c r="C110" s="3"/>
      <c r="D110" s="6"/>
      <c r="E110" s="4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0"/>
      <c r="B111" s="2">
        <f>1+B106</f>
        <v>72</v>
      </c>
      <c r="C111" s="3" t="s">
        <v>106</v>
      </c>
      <c r="D111" s="6">
        <f>Mar!F111</f>
        <v>10506579938</v>
      </c>
      <c r="E111" s="4">
        <f>Jan!I109+Feb!I111+Mar!I111</f>
        <v>1102312551</v>
      </c>
      <c r="F111" s="4">
        <f>Jan!J109+Feb!J111+Mar!J111</f>
        <v>339319944</v>
      </c>
      <c r="G111" s="4">
        <f t="shared" ref="G111:G113" si="31">E111-F111</f>
        <v>762992607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1"/>
      <c r="B112" s="2">
        <f t="shared" ref="B112:B113" si="32">1+B111</f>
        <v>73</v>
      </c>
      <c r="C112" s="3" t="s">
        <v>107</v>
      </c>
      <c r="D112" s="6">
        <f>Mar!F112</f>
        <v>7800325531</v>
      </c>
      <c r="E112" s="4">
        <f>Jan!I110+Feb!I112+Mar!I112</f>
        <v>1960527537</v>
      </c>
      <c r="F112" s="4">
        <f>Jan!J110+Feb!J112+Mar!J112</f>
        <v>1032384353</v>
      </c>
      <c r="G112" s="4">
        <f t="shared" si="31"/>
        <v>928143184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 t="shared" si="32"/>
        <v>74</v>
      </c>
      <c r="C113" s="3" t="s">
        <v>108</v>
      </c>
      <c r="D113" s="6">
        <f>Mar!F113</f>
        <v>3499813210</v>
      </c>
      <c r="E113" s="4">
        <f>Jan!I111+Feb!I113+Mar!I113</f>
        <v>300796647</v>
      </c>
      <c r="F113" s="4">
        <f>Jan!J111+Feb!J113+Mar!J113</f>
        <v>394428774</v>
      </c>
      <c r="G113" s="4">
        <f t="shared" si="31"/>
        <v>-93632127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4" t="s">
        <v>46</v>
      </c>
      <c r="B114" s="2"/>
      <c r="C114" s="3"/>
      <c r="D114" s="26">
        <f t="shared" ref="D114:G114" si="33">D111+D112+D113</f>
        <v>21806718679</v>
      </c>
      <c r="E114" s="26">
        <f t="shared" si="33"/>
        <v>3363636735</v>
      </c>
      <c r="F114" s="26">
        <f t="shared" si="33"/>
        <v>1766133071</v>
      </c>
      <c r="G114" s="26">
        <f t="shared" si="33"/>
        <v>1597503664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20" t="s">
        <v>109</v>
      </c>
      <c r="B115" s="2"/>
      <c r="C115" s="3"/>
      <c r="D115" s="6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1"/>
      <c r="B116" s="2">
        <f>1+B113</f>
        <v>75</v>
      </c>
      <c r="C116" s="3" t="s">
        <v>106</v>
      </c>
      <c r="D116" s="6">
        <f>Mar!F116</f>
        <v>8466972379</v>
      </c>
      <c r="E116" s="4">
        <f>Jan!I114+Feb!I116+Mar!I116</f>
        <v>145679214</v>
      </c>
      <c r="F116" s="4">
        <f>Jan!J114+Feb!J116+Mar!J116</f>
        <v>481056219</v>
      </c>
      <c r="G116" s="4">
        <f>E116-F116</f>
        <v>-335377005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24" t="s">
        <v>93</v>
      </c>
      <c r="B117" s="25"/>
      <c r="C117" s="1"/>
      <c r="D117" s="26">
        <f t="shared" ref="D117:G117" si="34">SUM(D116)</f>
        <v>8466972379</v>
      </c>
      <c r="E117" s="26">
        <f t="shared" si="34"/>
        <v>145679214</v>
      </c>
      <c r="F117" s="26">
        <f t="shared" si="34"/>
        <v>481056219</v>
      </c>
      <c r="G117" s="26">
        <f t="shared" si="34"/>
        <v>-335377005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1" t="s">
        <v>110</v>
      </c>
      <c r="B118" s="35"/>
      <c r="C118" s="33"/>
      <c r="D118" s="26">
        <f t="shared" ref="D118:G118" si="35">SUM(D114+D117)</f>
        <v>30273691058</v>
      </c>
      <c r="E118" s="26">
        <f t="shared" si="35"/>
        <v>3509315949</v>
      </c>
      <c r="F118" s="26">
        <f t="shared" si="35"/>
        <v>2247189290</v>
      </c>
      <c r="G118" s="26">
        <f t="shared" si="35"/>
        <v>1262126659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6" t="s">
        <v>111</v>
      </c>
      <c r="B119" s="37"/>
      <c r="C119" s="38"/>
      <c r="D119" s="39" t="str">
        <f t="shared" ref="D119:G119" si="36">D42+D67+D95+D108+D118</f>
        <v>#REF!</v>
      </c>
      <c r="E119" s="39" t="str">
        <f t="shared" si="36"/>
        <v>#REF!</v>
      </c>
      <c r="F119" s="39" t="str">
        <f t="shared" si="36"/>
        <v>#REF!</v>
      </c>
      <c r="G119" s="39" t="str">
        <f t="shared" si="36"/>
        <v>#REF!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0" customHeight="1">
      <c r="A120" s="41"/>
      <c r="B120" s="41"/>
      <c r="C120" s="41"/>
      <c r="D120" s="4" t="str">
        <f>Mar!F119-D119</f>
        <v>#REF!</v>
      </c>
      <c r="E120" s="4" t="str">
        <f>E119-Jan!I117-'Feb UPDATED'!I119-Mar!I119</f>
        <v>#REF!</v>
      </c>
      <c r="F120" s="4" t="str">
        <f>F119-Jan!J117-'Feb UPDATED'!J119-Mar!J119</f>
        <v>#REF!</v>
      </c>
      <c r="G120" s="4" t="str">
        <f>G119-Jan!K117-'Feb UPDATED'!K119-Mar!K119</f>
        <v>#REF!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42"/>
      <c r="B121" s="34"/>
      <c r="C121" s="3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42"/>
      <c r="B122" s="34"/>
      <c r="C122" s="34"/>
      <c r="D122" s="4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9.75" customHeight="1">
      <c r="A123" s="42"/>
      <c r="B123" s="34"/>
      <c r="C123" s="34"/>
      <c r="D123" s="4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9.75" customHeight="1">
      <c r="A124" s="42"/>
      <c r="B124" s="41"/>
      <c r="C124" s="41"/>
      <c r="D124" s="4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1"/>
      <c r="B125" s="41"/>
      <c r="C125" s="41"/>
      <c r="D125" s="4"/>
      <c r="E125" s="4"/>
      <c r="F125" s="4"/>
      <c r="G125" s="4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1"/>
      <c r="B126" s="41"/>
      <c r="C126" s="41"/>
      <c r="D126" s="4"/>
      <c r="E126" s="4"/>
      <c r="F126" s="4"/>
      <c r="G126" s="4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1"/>
      <c r="B127" s="41"/>
      <c r="C127" s="41"/>
      <c r="D127" s="4"/>
      <c r="E127" s="4"/>
      <c r="F127" s="4"/>
      <c r="G127" s="4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1"/>
      <c r="B128" s="41"/>
      <c r="C128" s="41"/>
      <c r="D128" s="3"/>
      <c r="E128" s="4"/>
      <c r="F128" s="4"/>
      <c r="G128" s="4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1"/>
      <c r="B129" s="41"/>
      <c r="C129" s="41"/>
      <c r="D129" s="3"/>
      <c r="E129" s="4"/>
      <c r="F129" s="4"/>
      <c r="G129" s="4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1"/>
      <c r="B130" s="41"/>
      <c r="C130" s="41"/>
      <c r="D130" s="3"/>
      <c r="E130" s="4"/>
      <c r="F130" s="4"/>
      <c r="G130" s="4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1"/>
      <c r="B131" s="41"/>
      <c r="C131" s="41"/>
      <c r="D131" s="3"/>
      <c r="E131" s="4"/>
      <c r="F131" s="4"/>
      <c r="G131" s="4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1"/>
      <c r="B132" s="41"/>
      <c r="C132" s="41"/>
      <c r="D132" s="3"/>
      <c r="E132" s="4"/>
      <c r="F132" s="4"/>
      <c r="G132" s="4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1"/>
      <c r="B133" s="41"/>
      <c r="C133" s="41"/>
      <c r="D133" s="4"/>
      <c r="E133" s="4"/>
      <c r="F133" s="4"/>
      <c r="G133" s="4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1"/>
      <c r="B134" s="41"/>
      <c r="C134" s="41"/>
      <c r="D134" s="4"/>
      <c r="E134" s="4"/>
      <c r="F134" s="4"/>
      <c r="G134" s="4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1"/>
      <c r="B135" s="41"/>
      <c r="C135" s="41"/>
      <c r="D135" s="4"/>
      <c r="E135" s="4"/>
      <c r="F135" s="4"/>
      <c r="G135" s="4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1"/>
      <c r="B136" s="41"/>
      <c r="C136" s="41"/>
      <c r="D136" s="4"/>
      <c r="E136" s="4"/>
      <c r="F136" s="4"/>
      <c r="G136" s="4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1"/>
      <c r="B137" s="41"/>
      <c r="C137" s="41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1"/>
      <c r="B138" s="41"/>
      <c r="C138" s="41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1"/>
      <c r="B139" s="41"/>
      <c r="C139" s="41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1"/>
      <c r="B140" s="41"/>
      <c r="C140" s="41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1"/>
      <c r="B141" s="41"/>
      <c r="C141" s="41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1"/>
      <c r="B142" s="41"/>
      <c r="C142" s="41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1"/>
      <c r="B143" s="41"/>
      <c r="C143" s="41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1"/>
      <c r="B144" s="41"/>
      <c r="C144" s="41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1"/>
      <c r="B145" s="41"/>
      <c r="C145" s="41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1"/>
      <c r="B146" s="41"/>
      <c r="C146" s="41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1"/>
      <c r="B147" s="41"/>
      <c r="C147" s="41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1"/>
      <c r="B148" s="41"/>
      <c r="C148" s="41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1"/>
      <c r="B149" s="41"/>
      <c r="C149" s="41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1"/>
      <c r="B150" s="41"/>
      <c r="C150" s="41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1"/>
      <c r="B151" s="41"/>
      <c r="C151" s="41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1"/>
      <c r="B152" s="41"/>
      <c r="C152" s="41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1"/>
      <c r="B153" s="41"/>
      <c r="C153" s="41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1"/>
      <c r="B154" s="41"/>
      <c r="C154" s="41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1"/>
      <c r="B155" s="41"/>
      <c r="C155" s="41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1"/>
      <c r="B156" s="41"/>
      <c r="C156" s="41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1"/>
      <c r="B157" s="41"/>
      <c r="C157" s="41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1"/>
      <c r="B158" s="41"/>
      <c r="C158" s="41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1"/>
      <c r="B159" s="41"/>
      <c r="C159" s="41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1"/>
      <c r="B160" s="41"/>
      <c r="C160" s="41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1"/>
      <c r="B161" s="41"/>
      <c r="C161" s="41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1"/>
      <c r="B162" s="41"/>
      <c r="C162" s="41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1"/>
      <c r="B163" s="41"/>
      <c r="C163" s="41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1"/>
      <c r="B164" s="41"/>
      <c r="C164" s="41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1"/>
      <c r="B165" s="41"/>
      <c r="C165" s="41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1"/>
      <c r="B166" s="41"/>
      <c r="C166" s="41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1"/>
      <c r="B167" s="41"/>
      <c r="C167" s="41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1"/>
      <c r="B168" s="41"/>
      <c r="C168" s="41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1"/>
      <c r="B169" s="41"/>
      <c r="C169" s="41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1"/>
      <c r="B170" s="41"/>
      <c r="C170" s="41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1"/>
      <c r="B171" s="41"/>
      <c r="C171" s="41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1"/>
      <c r="B172" s="41"/>
      <c r="C172" s="41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1"/>
      <c r="B173" s="41"/>
      <c r="C173" s="41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1"/>
      <c r="B174" s="41"/>
      <c r="C174" s="41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1"/>
      <c r="B175" s="41"/>
      <c r="C175" s="41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1"/>
      <c r="B176" s="41"/>
      <c r="C176" s="41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1"/>
      <c r="B177" s="41"/>
      <c r="C177" s="41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1"/>
      <c r="B178" s="41"/>
      <c r="C178" s="41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1"/>
      <c r="B179" s="41"/>
      <c r="C179" s="41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1"/>
      <c r="B180" s="41"/>
      <c r="C180" s="41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1"/>
      <c r="B181" s="41"/>
      <c r="C181" s="41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1"/>
      <c r="B182" s="41"/>
      <c r="C182" s="41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1"/>
      <c r="B183" s="41"/>
      <c r="C183" s="41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1"/>
      <c r="B184" s="41"/>
      <c r="C184" s="41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1"/>
      <c r="B185" s="41"/>
      <c r="C185" s="41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1"/>
      <c r="B186" s="41"/>
      <c r="C186" s="41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1"/>
      <c r="B187" s="41"/>
      <c r="C187" s="41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1"/>
      <c r="B188" s="41"/>
      <c r="C188" s="41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1"/>
      <c r="B189" s="41"/>
      <c r="C189" s="41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1"/>
      <c r="B190" s="41"/>
      <c r="C190" s="41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1"/>
      <c r="B191" s="41"/>
      <c r="C191" s="41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1"/>
      <c r="B192" s="41"/>
      <c r="C192" s="41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1"/>
      <c r="B193" s="41"/>
      <c r="C193" s="41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1"/>
      <c r="B194" s="41"/>
      <c r="C194" s="41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1"/>
      <c r="B195" s="41"/>
      <c r="C195" s="41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1"/>
      <c r="B196" s="41"/>
      <c r="C196" s="41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1"/>
      <c r="B197" s="41"/>
      <c r="C197" s="41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1"/>
      <c r="B198" s="41"/>
      <c r="C198" s="41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1"/>
      <c r="B199" s="41"/>
      <c r="C199" s="41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1"/>
      <c r="B200" s="41"/>
      <c r="C200" s="41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1"/>
      <c r="B201" s="41"/>
      <c r="C201" s="41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1"/>
      <c r="B202" s="41"/>
      <c r="C202" s="41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1"/>
      <c r="B203" s="41"/>
      <c r="C203" s="41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1"/>
      <c r="B204" s="41"/>
      <c r="C204" s="41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1"/>
      <c r="B205" s="41"/>
      <c r="C205" s="41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1"/>
      <c r="B206" s="41"/>
      <c r="C206" s="41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1"/>
      <c r="B207" s="41"/>
      <c r="C207" s="41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1"/>
      <c r="B208" s="41"/>
      <c r="C208" s="41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1"/>
      <c r="B209" s="41"/>
      <c r="C209" s="41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1"/>
      <c r="B210" s="41"/>
      <c r="C210" s="41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1"/>
      <c r="B211" s="41"/>
      <c r="C211" s="41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1"/>
      <c r="B212" s="41"/>
      <c r="C212" s="41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1"/>
      <c r="B213" s="41"/>
      <c r="C213" s="41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1"/>
      <c r="B214" s="41"/>
      <c r="C214" s="41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1"/>
      <c r="B215" s="41"/>
      <c r="C215" s="41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1"/>
      <c r="B216" s="41"/>
      <c r="C216" s="41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1"/>
      <c r="B217" s="41"/>
      <c r="C217" s="41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1"/>
      <c r="B218" s="41"/>
      <c r="C218" s="41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1"/>
      <c r="B219" s="41"/>
      <c r="C219" s="41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1"/>
      <c r="B220" s="41"/>
      <c r="C220" s="41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1"/>
      <c r="B221" s="41"/>
      <c r="C221" s="41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1"/>
      <c r="B222" s="41"/>
      <c r="C222" s="41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1"/>
      <c r="B223" s="41"/>
      <c r="C223" s="41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1"/>
      <c r="B224" s="41"/>
      <c r="C224" s="41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1"/>
      <c r="B225" s="41"/>
      <c r="C225" s="41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1"/>
      <c r="B226" s="41"/>
      <c r="C226" s="41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1"/>
      <c r="B227" s="41"/>
      <c r="C227" s="41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1"/>
      <c r="B228" s="41"/>
      <c r="C228" s="41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1"/>
      <c r="B229" s="41"/>
      <c r="C229" s="41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1"/>
      <c r="B230" s="41"/>
      <c r="C230" s="41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1"/>
      <c r="B231" s="41"/>
      <c r="C231" s="41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1"/>
      <c r="B232" s="41"/>
      <c r="C232" s="41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1"/>
      <c r="B233" s="41"/>
      <c r="C233" s="41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1"/>
      <c r="B234" s="41"/>
      <c r="C234" s="41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1"/>
      <c r="B235" s="41"/>
      <c r="C235" s="41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1"/>
      <c r="B236" s="41"/>
      <c r="C236" s="41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1"/>
      <c r="B237" s="41"/>
      <c r="C237" s="41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1"/>
      <c r="B238" s="41"/>
      <c r="C238" s="41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1"/>
      <c r="B239" s="41"/>
      <c r="C239" s="41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1"/>
      <c r="B240" s="41"/>
      <c r="C240" s="41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1"/>
      <c r="B241" s="41"/>
      <c r="C241" s="41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1"/>
      <c r="B242" s="41"/>
      <c r="C242" s="41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1"/>
      <c r="B243" s="41"/>
      <c r="C243" s="41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1"/>
      <c r="B244" s="41"/>
      <c r="C244" s="41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1"/>
      <c r="B245" s="41"/>
      <c r="C245" s="41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1"/>
      <c r="B246" s="41"/>
      <c r="C246" s="41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1"/>
      <c r="B247" s="41"/>
      <c r="C247" s="41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1"/>
      <c r="B248" s="41"/>
      <c r="C248" s="41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1"/>
      <c r="B249" s="41"/>
      <c r="C249" s="41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1"/>
      <c r="B250" s="41"/>
      <c r="C250" s="41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1"/>
      <c r="B251" s="41"/>
      <c r="C251" s="41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1"/>
      <c r="B252" s="41"/>
      <c r="C252" s="41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1"/>
      <c r="B253" s="41"/>
      <c r="C253" s="41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1"/>
      <c r="B254" s="41"/>
      <c r="C254" s="41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1"/>
      <c r="B255" s="41"/>
      <c r="C255" s="41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1"/>
      <c r="B256" s="41"/>
      <c r="C256" s="41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1"/>
      <c r="B257" s="41"/>
      <c r="C257" s="41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1"/>
      <c r="B258" s="41"/>
      <c r="C258" s="41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1"/>
      <c r="B259" s="41"/>
      <c r="C259" s="41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1"/>
      <c r="B260" s="41"/>
      <c r="C260" s="41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1"/>
      <c r="B261" s="41"/>
      <c r="C261" s="41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1"/>
      <c r="B262" s="41"/>
      <c r="C262" s="41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1"/>
      <c r="B263" s="41"/>
      <c r="C263" s="41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1"/>
      <c r="B264" s="41"/>
      <c r="C264" s="41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1"/>
      <c r="B265" s="41"/>
      <c r="C265" s="41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1"/>
      <c r="B266" s="41"/>
      <c r="C266" s="41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1"/>
      <c r="B267" s="41"/>
      <c r="C267" s="41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1"/>
      <c r="B268" s="41"/>
      <c r="C268" s="41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1"/>
      <c r="B269" s="41"/>
      <c r="C269" s="41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1"/>
      <c r="B270" s="41"/>
      <c r="C270" s="41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1"/>
      <c r="B271" s="41"/>
      <c r="C271" s="41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1"/>
      <c r="B272" s="41"/>
      <c r="C272" s="41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1"/>
      <c r="B273" s="41"/>
      <c r="C273" s="41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1"/>
      <c r="B274" s="41"/>
      <c r="C274" s="41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1"/>
      <c r="B275" s="41"/>
      <c r="C275" s="41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1"/>
      <c r="B276" s="41"/>
      <c r="C276" s="41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1"/>
      <c r="B277" s="41"/>
      <c r="C277" s="41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1"/>
      <c r="B278" s="41"/>
      <c r="C278" s="41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1"/>
      <c r="B279" s="41"/>
      <c r="C279" s="41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1"/>
      <c r="B280" s="41"/>
      <c r="C280" s="41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1"/>
      <c r="B281" s="41"/>
      <c r="C281" s="41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1"/>
      <c r="B282" s="41"/>
      <c r="C282" s="41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1"/>
      <c r="B283" s="41"/>
      <c r="C283" s="41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1"/>
      <c r="B284" s="41"/>
      <c r="C284" s="41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1"/>
      <c r="B285" s="41"/>
      <c r="C285" s="41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1"/>
      <c r="B286" s="41"/>
      <c r="C286" s="41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1"/>
      <c r="B287" s="41"/>
      <c r="C287" s="41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1"/>
      <c r="B288" s="41"/>
      <c r="C288" s="41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1"/>
      <c r="B289" s="41"/>
      <c r="C289" s="41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1"/>
      <c r="B290" s="41"/>
      <c r="C290" s="41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1"/>
      <c r="B291" s="41"/>
      <c r="C291" s="41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1"/>
      <c r="B292" s="41"/>
      <c r="C292" s="41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1"/>
      <c r="B293" s="41"/>
      <c r="C293" s="41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1"/>
      <c r="B294" s="41"/>
      <c r="C294" s="41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1"/>
      <c r="B295" s="41"/>
      <c r="C295" s="41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1"/>
      <c r="B296" s="41"/>
      <c r="C296" s="41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1"/>
      <c r="B297" s="41"/>
      <c r="C297" s="41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1"/>
      <c r="B298" s="41"/>
      <c r="C298" s="41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1"/>
      <c r="B299" s="41"/>
      <c r="C299" s="41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1"/>
      <c r="B300" s="41"/>
      <c r="C300" s="41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1"/>
      <c r="B301" s="41"/>
      <c r="C301" s="41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1"/>
      <c r="B302" s="41"/>
      <c r="C302" s="41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1"/>
      <c r="B303" s="41"/>
      <c r="C303" s="41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1"/>
      <c r="B304" s="41"/>
      <c r="C304" s="41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1"/>
      <c r="B305" s="41"/>
      <c r="C305" s="41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1"/>
      <c r="B306" s="41"/>
      <c r="C306" s="41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1"/>
      <c r="B307" s="41"/>
      <c r="C307" s="41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1"/>
      <c r="B308" s="41"/>
      <c r="C308" s="41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1"/>
      <c r="B309" s="41"/>
      <c r="C309" s="41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1"/>
      <c r="B310" s="41"/>
      <c r="C310" s="41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1"/>
      <c r="B311" s="41"/>
      <c r="C311" s="41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1"/>
      <c r="B312" s="41"/>
      <c r="C312" s="41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1"/>
      <c r="B313" s="41"/>
      <c r="C313" s="41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1"/>
      <c r="B314" s="41"/>
      <c r="C314" s="41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1"/>
      <c r="B315" s="41"/>
      <c r="C315" s="41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1"/>
      <c r="B316" s="41"/>
      <c r="C316" s="41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1"/>
      <c r="B317" s="41"/>
      <c r="C317" s="41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1"/>
      <c r="B318" s="41"/>
      <c r="C318" s="41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1"/>
      <c r="B319" s="41"/>
      <c r="C319" s="41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1"/>
      <c r="B320" s="41"/>
      <c r="C320" s="41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5:G5"/>
  </mergeCells>
  <printOptions/>
  <pageMargins bottom="0.5" footer="0.0" header="0.0" left="0.0" right="0.0" top="0.5"/>
  <pageSetup paperSize="5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5"/>
    <col customWidth="1" min="2" max="2" width="12.88"/>
    <col customWidth="1" min="3" max="3" width="11.13"/>
    <col customWidth="1" min="4" max="4" width="21.75"/>
    <col customWidth="1" min="5" max="5" width="20.75"/>
    <col customWidth="1" min="6" max="6" width="23.13"/>
    <col customWidth="1" hidden="1" min="7" max="7" width="17.13"/>
    <col customWidth="1" hidden="1" min="8" max="8" width="15.88"/>
    <col customWidth="1" hidden="1" min="9" max="9" width="16.75"/>
    <col customWidth="1" hidden="1" min="10" max="11" width="15.88"/>
    <col customWidth="1" hidden="1" min="12" max="13" width="16.38"/>
    <col customWidth="1" hidden="1" min="14" max="14" width="19.5"/>
    <col customWidth="1" hidden="1" min="15" max="15" width="19.25"/>
    <col customWidth="1" min="16" max="16" width="18.5"/>
    <col customWidth="1" min="17" max="26" width="8.75"/>
  </cols>
  <sheetData>
    <row r="1" ht="15.0" customHeight="1">
      <c r="A1" s="49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0" customHeight="1">
      <c r="A2" s="50" t="s">
        <v>131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26.2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30.0" customHeight="1">
      <c r="A4" s="51" t="s">
        <v>132</v>
      </c>
      <c r="B4" s="51" t="s">
        <v>133</v>
      </c>
      <c r="C4" s="51" t="s">
        <v>134</v>
      </c>
      <c r="D4" s="51" t="s">
        <v>135</v>
      </c>
      <c r="E4" s="51" t="s">
        <v>136</v>
      </c>
      <c r="F4" s="51" t="s">
        <v>137</v>
      </c>
      <c r="G4" s="52" t="s">
        <v>138</v>
      </c>
      <c r="H4" s="52" t="s">
        <v>139</v>
      </c>
      <c r="I4" s="53" t="s">
        <v>140</v>
      </c>
      <c r="J4" s="53" t="s">
        <v>141</v>
      </c>
      <c r="K4" s="53" t="s">
        <v>142</v>
      </c>
      <c r="L4" s="53" t="s">
        <v>143</v>
      </c>
      <c r="M4" s="53" t="s">
        <v>144</v>
      </c>
      <c r="N4" s="53" t="s">
        <v>145</v>
      </c>
      <c r="O4" s="53" t="s">
        <v>146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20.25" customHeight="1">
      <c r="A5" s="55">
        <v>1.0</v>
      </c>
      <c r="B5" s="56" t="s">
        <v>147</v>
      </c>
      <c r="C5" s="55">
        <v>1.0</v>
      </c>
      <c r="D5" s="57">
        <f>Jan!F96</f>
        <v>175616212.4</v>
      </c>
      <c r="E5" s="58">
        <f>Feb!F98</f>
        <v>175981527.6</v>
      </c>
      <c r="F5" s="58">
        <f>Mar!F98</f>
        <v>176328034.8</v>
      </c>
      <c r="G5" s="59"/>
      <c r="H5" s="59"/>
      <c r="I5" s="59"/>
      <c r="J5" s="60"/>
      <c r="K5" s="60"/>
      <c r="L5" s="60"/>
      <c r="M5" s="60"/>
      <c r="N5" s="61"/>
      <c r="O5" s="62"/>
      <c r="P5" s="63"/>
      <c r="Q5" s="63"/>
      <c r="R5" s="64"/>
      <c r="S5" s="64"/>
      <c r="T5" s="64"/>
      <c r="U5" s="64"/>
      <c r="V5" s="64"/>
      <c r="W5" s="64"/>
      <c r="X5" s="64"/>
      <c r="Y5" s="64"/>
      <c r="Z5" s="64"/>
    </row>
    <row r="6" ht="20.25" customHeight="1">
      <c r="A6" s="55">
        <f t="shared" ref="A6:A14" si="1">1+A5</f>
        <v>2</v>
      </c>
      <c r="B6" s="56" t="s">
        <v>148</v>
      </c>
      <c r="C6" s="55">
        <v>9.0</v>
      </c>
      <c r="D6" s="57">
        <f>Jan!F13+Jan!F14+Jan!F15+Jan!F34+Jan!F45+Jan!F46+Jan!F72+Jan!F85+Jan!F98</f>
        <v>8578750652</v>
      </c>
      <c r="E6" s="58">
        <f>Feb!F13+Feb!F14+Feb!F15+Feb!F34+Feb!F47+Feb!F48+Feb!F74+Feb!F87+Feb!F100</f>
        <v>8709800414</v>
      </c>
      <c r="F6" s="58">
        <f>Mar!F13+Mar!F14+Mar!F15+Mar!F34+Mar!F47+Mar!F48+Mar!F74+Mar!F87+Mar!F100</f>
        <v>8211507594</v>
      </c>
      <c r="G6" s="59"/>
      <c r="H6" s="59"/>
      <c r="I6" s="59"/>
      <c r="J6" s="60"/>
      <c r="K6" s="60"/>
      <c r="L6" s="60"/>
      <c r="M6" s="60"/>
      <c r="N6" s="61"/>
      <c r="O6" s="62"/>
      <c r="P6" s="63"/>
      <c r="Q6" s="63"/>
      <c r="R6" s="64"/>
      <c r="S6" s="64"/>
      <c r="T6" s="64"/>
      <c r="U6" s="64"/>
      <c r="V6" s="64"/>
      <c r="W6" s="64"/>
      <c r="X6" s="64"/>
      <c r="Y6" s="64"/>
      <c r="Z6" s="64"/>
    </row>
    <row r="7" ht="20.25" customHeight="1">
      <c r="A7" s="55">
        <f t="shared" si="1"/>
        <v>3</v>
      </c>
      <c r="B7" s="65" t="s">
        <v>149</v>
      </c>
      <c r="C7" s="55">
        <f>8+2</f>
        <v>10</v>
      </c>
      <c r="D7" s="66">
        <f>Jan!F10+Jan!F11+Jan!F24+Jan!F37+Jan!F43+Jan!F44+Jan!F69+Jan!F76+Jan!F80+Jan!F84</f>
        <v>8508559380</v>
      </c>
      <c r="E7" s="58">
        <f>Feb!F10+Feb!F11+Feb!F24+Feb!F37+Feb!F45+Feb!F46+Feb!F71+Feb!F78+Feb!F82+Feb!F86</f>
        <v>8742017367</v>
      </c>
      <c r="F7" s="58">
        <f>Mar!F10+Mar!F11+Mar!F24+Mar!F37+Mar!F45+Mar!F46+Mar!F71+Mar!F78+Mar!F82+Mar!F86</f>
        <v>8146244554</v>
      </c>
      <c r="G7" s="67"/>
      <c r="H7" s="67"/>
      <c r="I7" s="67"/>
      <c r="J7" s="67"/>
      <c r="K7" s="67"/>
      <c r="L7" s="67"/>
      <c r="M7" s="67"/>
      <c r="N7" s="68"/>
      <c r="O7" s="66"/>
      <c r="P7" s="69"/>
      <c r="Q7" s="63"/>
      <c r="R7" s="41"/>
      <c r="S7" s="41"/>
      <c r="T7" s="41"/>
      <c r="U7" s="41"/>
      <c r="V7" s="41"/>
      <c r="W7" s="41"/>
      <c r="X7" s="41"/>
      <c r="Y7" s="41"/>
      <c r="Z7" s="41"/>
    </row>
    <row r="8" ht="19.5" customHeight="1">
      <c r="A8" s="55">
        <f t="shared" si="1"/>
        <v>4</v>
      </c>
      <c r="B8" s="65" t="s">
        <v>150</v>
      </c>
      <c r="C8" s="55">
        <f>8+1+9+1+1</f>
        <v>20</v>
      </c>
      <c r="D8" s="66">
        <f>Jan!F9+Jan!F17+Jan!F18+Jan!F23+Jan!F32+Jan!F48+Jan!F49+Jan!F50+Jan!F54+Jan!F61+Jan!F68+Jan!F71+Jan!F73+Jan!F74+Jan!F83+Jan!F86+Jan!F87+Jan!F91+Jan!F97+Jan!F101+Jan!F109+Jan!F114+Jan!F47</f>
        <v>119349211086</v>
      </c>
      <c r="E8" s="58">
        <f>Feb!F9+Feb!F17+Feb!F18+Feb!F23+Feb!F32+Feb!F49+Feb!F50+Feb!F51+Feb!F52+Feb!F56+Feb!F63+Feb!F70+Feb!F73+Feb!F75+Feb!F76+Feb!F85+Feb!F88+Feb!F89+Feb!F93+Feb!F99+Feb!F103+Feb!F111+Feb!F116</f>
        <v>120507165837</v>
      </c>
      <c r="F8" s="58">
        <f>Mar!F9+Mar!F17+Mar!F18+Mar!F23+Mar!F32+Mar!F49+Mar!F50+Mar!F51+Mar!F52+Mar!F56+Mar!F63+Mar!F70+Mar!F73+Mar!F75+Mar!F76+Mar!F85+Mar!F88+Mar!F89+Mar!F93+Mar!F99+Mar!F103+Mar!F111+Mar!F116</f>
        <v>118876575764</v>
      </c>
      <c r="G8" s="67"/>
      <c r="H8" s="67"/>
      <c r="I8" s="67"/>
      <c r="J8" s="67"/>
      <c r="K8" s="67"/>
      <c r="L8" s="67"/>
      <c r="M8" s="67"/>
      <c r="N8" s="68"/>
      <c r="O8" s="66"/>
      <c r="P8" s="69"/>
      <c r="Q8" s="63"/>
      <c r="R8" s="41"/>
      <c r="S8" s="41"/>
      <c r="T8" s="41"/>
      <c r="U8" s="41"/>
      <c r="V8" s="41"/>
      <c r="W8" s="41"/>
      <c r="X8" s="41"/>
      <c r="Y8" s="41"/>
      <c r="Z8" s="41"/>
    </row>
    <row r="9" ht="19.5" customHeight="1">
      <c r="A9" s="55">
        <f t="shared" si="1"/>
        <v>5</v>
      </c>
      <c r="B9" s="65" t="s">
        <v>151</v>
      </c>
      <c r="C9" s="55">
        <v>3.0</v>
      </c>
      <c r="D9" s="66">
        <f>Jan!F27+Jan!F60+Jan!F70</f>
        <v>1549506758</v>
      </c>
      <c r="E9" s="58">
        <f>Feb!F27+Feb!F62+Feb!F72</f>
        <v>1548256413</v>
      </c>
      <c r="F9" s="58">
        <f>Mar!F27+Mar!F62+Mar!F72</f>
        <v>1490432867</v>
      </c>
      <c r="G9" s="67"/>
      <c r="H9" s="67"/>
      <c r="I9" s="67"/>
      <c r="J9" s="67"/>
      <c r="K9" s="67"/>
      <c r="L9" s="67"/>
      <c r="M9" s="67"/>
      <c r="N9" s="68"/>
      <c r="O9" s="66"/>
      <c r="P9" s="69"/>
      <c r="Q9" s="63"/>
      <c r="R9" s="41"/>
      <c r="S9" s="41"/>
      <c r="T9" s="41"/>
      <c r="U9" s="41"/>
      <c r="V9" s="41"/>
      <c r="W9" s="41"/>
      <c r="X9" s="41"/>
      <c r="Y9" s="41"/>
      <c r="Z9" s="41"/>
    </row>
    <row r="10" ht="19.5" customHeight="1">
      <c r="A10" s="55">
        <f t="shared" si="1"/>
        <v>6</v>
      </c>
      <c r="B10" s="65" t="s">
        <v>152</v>
      </c>
      <c r="C10" s="55">
        <v>1.0</v>
      </c>
      <c r="D10" s="66">
        <f>Jan!F12</f>
        <v>489458724</v>
      </c>
      <c r="E10" s="58">
        <f>Feb!F12</f>
        <v>498694163.6</v>
      </c>
      <c r="F10" s="58">
        <f>Mar!F12</f>
        <v>512448554.7</v>
      </c>
      <c r="G10" s="67"/>
      <c r="H10" s="67"/>
      <c r="I10" s="67"/>
      <c r="J10" s="67"/>
      <c r="K10" s="67"/>
      <c r="L10" s="67"/>
      <c r="M10" s="67"/>
      <c r="N10" s="68"/>
      <c r="O10" s="66"/>
      <c r="P10" s="69"/>
      <c r="Q10" s="63"/>
      <c r="R10" s="41"/>
      <c r="S10" s="41"/>
      <c r="T10" s="41"/>
      <c r="U10" s="41"/>
      <c r="V10" s="41"/>
      <c r="W10" s="41"/>
      <c r="X10" s="41"/>
      <c r="Y10" s="41"/>
      <c r="Z10" s="41"/>
    </row>
    <row r="11" ht="19.5" customHeight="1">
      <c r="A11" s="55">
        <f t="shared" si="1"/>
        <v>7</v>
      </c>
      <c r="B11" s="65" t="s">
        <v>153</v>
      </c>
      <c r="C11" s="55">
        <f>1+1</f>
        <v>2</v>
      </c>
      <c r="D11" s="66">
        <f>Jan!F29+Jan!F30</f>
        <v>572554861.1</v>
      </c>
      <c r="E11" s="58">
        <f>Feb!F29+Feb!F30</f>
        <v>575542828.4</v>
      </c>
      <c r="F11" s="58">
        <f>Mar!F29+Mar!F30</f>
        <v>528278993.6</v>
      </c>
      <c r="G11" s="67"/>
      <c r="H11" s="67"/>
      <c r="I11" s="67"/>
      <c r="J11" s="67"/>
      <c r="K11" s="67"/>
      <c r="L11" s="67"/>
      <c r="M11" s="67"/>
      <c r="N11" s="68"/>
      <c r="O11" s="66"/>
      <c r="P11" s="69"/>
      <c r="Q11" s="63"/>
      <c r="R11" s="41"/>
      <c r="S11" s="41"/>
      <c r="T11" s="41"/>
      <c r="U11" s="41"/>
      <c r="V11" s="41"/>
      <c r="W11" s="41"/>
      <c r="X11" s="41"/>
      <c r="Y11" s="41"/>
      <c r="Z11" s="41"/>
    </row>
    <row r="12" ht="19.5" customHeight="1">
      <c r="A12" s="55">
        <f t="shared" si="1"/>
        <v>8</v>
      </c>
      <c r="B12" s="65" t="s">
        <v>154</v>
      </c>
      <c r="C12" s="55">
        <v>1.0</v>
      </c>
      <c r="D12" s="66">
        <f>Jan!F16</f>
        <v>22207054</v>
      </c>
      <c r="E12" s="58">
        <f>Feb!F16</f>
        <v>21697622</v>
      </c>
      <c r="F12" s="58">
        <f>Mar!F16</f>
        <v>18789827</v>
      </c>
      <c r="G12" s="67"/>
      <c r="H12" s="67"/>
      <c r="I12" s="67"/>
      <c r="J12" s="67"/>
      <c r="K12" s="67"/>
      <c r="L12" s="67"/>
      <c r="M12" s="67"/>
      <c r="N12" s="68"/>
      <c r="O12" s="66"/>
      <c r="P12" s="69"/>
      <c r="Q12" s="63"/>
      <c r="R12" s="41"/>
      <c r="S12" s="41"/>
      <c r="T12" s="41"/>
      <c r="U12" s="41"/>
      <c r="V12" s="41"/>
      <c r="W12" s="41"/>
      <c r="X12" s="41"/>
      <c r="Y12" s="41"/>
      <c r="Z12" s="41"/>
    </row>
    <row r="13" ht="19.5" customHeight="1">
      <c r="A13" s="55">
        <f t="shared" si="1"/>
        <v>9</v>
      </c>
      <c r="B13" s="65" t="s">
        <v>155</v>
      </c>
      <c r="C13" s="55">
        <f>7+1</f>
        <v>8</v>
      </c>
      <c r="D13" s="66">
        <f>Jan!F19+Jan!F20+Jan!F21+Jan!F22+Jan!F31+Jan!F75+Jan!F88</f>
        <v>15090979264</v>
      </c>
      <c r="E13" s="58">
        <f>Feb!F19+Feb!F20+Feb!F21+Feb!F22+Feb!F31+Feb!F40+Feb!F77+Feb!F90</f>
        <v>15312339812</v>
      </c>
      <c r="F13" s="58" t="str">
        <f>Mar!F19+Mar!F20+Mar!F21+Mar!F22+Mar!F31+Mar!F40+Mar!F77+Mar!F90</f>
        <v>#REF!</v>
      </c>
      <c r="G13" s="67"/>
      <c r="H13" s="67"/>
      <c r="I13" s="67"/>
      <c r="J13" s="67"/>
      <c r="K13" s="67"/>
      <c r="L13" s="67"/>
      <c r="M13" s="67"/>
      <c r="N13" s="68"/>
      <c r="O13" s="66"/>
      <c r="P13" s="69"/>
      <c r="Q13" s="63"/>
      <c r="R13" s="41"/>
      <c r="S13" s="41"/>
      <c r="T13" s="41"/>
      <c r="U13" s="41"/>
      <c r="V13" s="41"/>
      <c r="W13" s="41"/>
      <c r="X13" s="41"/>
      <c r="Y13" s="41"/>
      <c r="Z13" s="41"/>
    </row>
    <row r="14" ht="19.5" customHeight="1">
      <c r="A14" s="55">
        <f t="shared" si="1"/>
        <v>10</v>
      </c>
      <c r="B14" s="65" t="s">
        <v>156</v>
      </c>
      <c r="C14" s="55">
        <f>15+1+1</f>
        <v>17</v>
      </c>
      <c r="D14" s="66">
        <f>Jan!F25+Jan!F26+Jan!F38+Jan!F51+Jan!F52+Jan!F55+Jan!F56+Jan!F57+Jan!F62+Jan!F63+Jan!F77+Jan!F78+Jan!F89+Jan!F99+Jan!F104+Jan!F110+Jan!F111</f>
        <v>51118488558</v>
      </c>
      <c r="E14" s="58">
        <f>Feb!F25+Feb!F26+Feb!F38+Feb!F53+Feb!F54+Feb!F57+Feb!F58+Feb!F59+Feb!F64+Feb!F65+Feb!F79+Feb!F80+Feb!F91+Feb!F101+Feb!F106+Feb!F112+Feb!F113</f>
        <v>51623915010</v>
      </c>
      <c r="F14" s="58">
        <f>Mar!F25+Mar!F26+Mar!F38+Mar!F53+Mar!F54+Mar!F57+Mar!F58+Mar!F59+Mar!F64+Mar!F65+Mar!F79+Mar!F80+Mar!F91+Mar!F101+Mar!F106+Mar!F112+Mar!F113</f>
        <v>49103625646</v>
      </c>
      <c r="G14" s="67"/>
      <c r="H14" s="67"/>
      <c r="I14" s="67"/>
      <c r="J14" s="67"/>
      <c r="K14" s="67"/>
      <c r="L14" s="67"/>
      <c r="M14" s="67"/>
      <c r="N14" s="68"/>
      <c r="O14" s="66"/>
      <c r="P14" s="69"/>
      <c r="Q14" s="63"/>
      <c r="R14" s="41"/>
      <c r="S14" s="41"/>
      <c r="T14" s="41"/>
      <c r="U14" s="41"/>
      <c r="V14" s="41"/>
      <c r="W14" s="41"/>
      <c r="X14" s="41"/>
      <c r="Y14" s="41"/>
      <c r="Z14" s="41"/>
    </row>
    <row r="15" ht="9.75" customHeight="1">
      <c r="A15" s="64"/>
      <c r="B15" s="41"/>
      <c r="C15" s="64"/>
      <c r="D15" s="70"/>
      <c r="E15" s="41"/>
      <c r="F15" s="41"/>
      <c r="G15" s="41"/>
      <c r="H15" s="41"/>
      <c r="I15" s="41"/>
      <c r="J15" s="41"/>
      <c r="K15" s="41"/>
      <c r="L15" s="69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30.0" customHeight="1">
      <c r="A16" s="71" t="s">
        <v>157</v>
      </c>
      <c r="B16" s="13"/>
      <c r="C16" s="72">
        <f t="shared" ref="C16:O16" si="2">SUM(C5:C14)</f>
        <v>72</v>
      </c>
      <c r="D16" s="73">
        <f t="shared" si="2"/>
        <v>205455332549</v>
      </c>
      <c r="E16" s="73">
        <f t="shared" si="2"/>
        <v>207715410994</v>
      </c>
      <c r="F16" s="73" t="str">
        <f t="shared" si="2"/>
        <v>#REF!</v>
      </c>
      <c r="G16" s="74">
        <f t="shared" si="2"/>
        <v>0</v>
      </c>
      <c r="H16" s="74">
        <f t="shared" si="2"/>
        <v>0</v>
      </c>
      <c r="I16" s="74">
        <f t="shared" si="2"/>
        <v>0</v>
      </c>
      <c r="J16" s="74">
        <f t="shared" si="2"/>
        <v>0</v>
      </c>
      <c r="K16" s="74">
        <f t="shared" si="2"/>
        <v>0</v>
      </c>
      <c r="L16" s="75">
        <f t="shared" si="2"/>
        <v>0</v>
      </c>
      <c r="M16" s="74">
        <f t="shared" si="2"/>
        <v>0</v>
      </c>
      <c r="N16" s="74">
        <f t="shared" si="2"/>
        <v>0</v>
      </c>
      <c r="O16" s="74">
        <f t="shared" si="2"/>
        <v>0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0" customHeight="1">
      <c r="A17" s="41"/>
      <c r="B17" s="41"/>
      <c r="C17" s="41"/>
      <c r="D17" s="76">
        <f>D16-Jan!F117</f>
        <v>0</v>
      </c>
      <c r="E17" s="76">
        <f>E16-'Feb UPDATED'!F119</f>
        <v>0.00003051757813</v>
      </c>
      <c r="F17" s="76" t="str">
        <f>F16-Mar!F119</f>
        <v>#REF!</v>
      </c>
      <c r="G17" s="76" t="str">
        <f t="shared" ref="G17:N17" si="3">G16-#REF!</f>
        <v>#REF!</v>
      </c>
      <c r="H17" s="76" t="str">
        <f t="shared" si="3"/>
        <v>#REF!</v>
      </c>
      <c r="I17" s="76" t="str">
        <f t="shared" si="3"/>
        <v>#REF!</v>
      </c>
      <c r="J17" s="76" t="str">
        <f t="shared" si="3"/>
        <v>#REF!</v>
      </c>
      <c r="K17" s="76" t="str">
        <f t="shared" si="3"/>
        <v>#REF!</v>
      </c>
      <c r="L17" s="69" t="str">
        <f t="shared" si="3"/>
        <v>#REF!</v>
      </c>
      <c r="M17" s="76" t="str">
        <f t="shared" si="3"/>
        <v>#REF!</v>
      </c>
      <c r="N17" s="76" t="str">
        <f t="shared" si="3"/>
        <v>#REF!</v>
      </c>
      <c r="O17" s="76">
        <f>O16-Jan!F117</f>
        <v>-205455332549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0" customHeight="1">
      <c r="A18" s="41"/>
      <c r="B18" s="41"/>
      <c r="C18" s="41"/>
      <c r="D18" s="70"/>
      <c r="E18" s="41"/>
      <c r="F18" s="41"/>
      <c r="G18" s="41"/>
      <c r="H18" s="41"/>
      <c r="I18" s="76"/>
      <c r="J18" s="41"/>
      <c r="K18" s="70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0" customHeight="1">
      <c r="A19" s="41"/>
      <c r="B19" s="41"/>
      <c r="C19" s="41"/>
      <c r="D19" s="7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0" customHeight="1">
      <c r="A20" s="41"/>
      <c r="B20" s="41"/>
      <c r="C20" s="41"/>
      <c r="D20" s="70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0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0" customHeight="1">
      <c r="A22" s="41"/>
      <c r="B22" s="41"/>
      <c r="C22" s="41"/>
      <c r="D22" s="41"/>
      <c r="E22" s="77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0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0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0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2.0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2.0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2.0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2.0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2.0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2.0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2.0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2.0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2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2.0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2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2.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2.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2.0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2.0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2.0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2.0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2.0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2.0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2.0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2.0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2.0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2.0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2.0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2.0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2.0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2.0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2.0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2.0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2.0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2.0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2.0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2.0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2.0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2.0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2.0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2.0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2.0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2.0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2.0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2.0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2.0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2.0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2.0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2.0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2.0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2.0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2.0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2.0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2.0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2.0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2.0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2.0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2.0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2.0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2.0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2.0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2.0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2.0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2.0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2.0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2.0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2.0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2.0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2.0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2.0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2.0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2.0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2.0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2.0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2.0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2.0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2.0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2.0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2.0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2.0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2.0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2.0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2.0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2.0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2.0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2.0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2.0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2.0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2.0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2.0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2.0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2.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2.0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2.0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2.0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2.0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2.0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2.0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2.0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2.0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2.0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2.0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2.0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2.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2.0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2.0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2.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2.0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2.0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2.0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2.0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2.0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2.0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2.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2.0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2.0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2.0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2.0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2.0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2.0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2.0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2.0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2.0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2.0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2.0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2.0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2.0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2.0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2.0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2.0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0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0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2.0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0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2.0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2.0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2.0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0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2.0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2.0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2.0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0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2.0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2.0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0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2.0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2.0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2.0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2.0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2.0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2.0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2.0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2.0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2.0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2.0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2.0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2.0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2.0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2.0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2.0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2.0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2.0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2.0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2.0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2.0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2.0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2.0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2.0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2.0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2.0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2.0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2.0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2.0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2.0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2.0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2.0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2.0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2.0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2.0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2.0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2.0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2.0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2.0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2.0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2.0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2.0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2.0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2.0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2.0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2.0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2.0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2.0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2.0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2.0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2.0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O2"/>
    <mergeCell ref="A16:B16"/>
  </mergeCells>
  <printOptions/>
  <pageMargins bottom="1.0" footer="0.0" header="0.0" left="0.5" right="0.5" top="1.0"/>
  <pageSetup paperSize="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14.88"/>
    <col customWidth="1" min="3" max="3" width="10.13"/>
    <col customWidth="1" min="4" max="4" width="17.5"/>
    <col customWidth="1" min="5" max="5" width="19.0"/>
    <col customWidth="1" min="6" max="6" width="21.5"/>
    <col customWidth="1" min="7" max="7" width="15.5"/>
    <col customWidth="1" min="8" max="8" width="11.0"/>
    <col customWidth="1" min="9" max="26" width="8.75"/>
  </cols>
  <sheetData>
    <row r="1" ht="15.0" customHeight="1">
      <c r="A1" s="49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0" customHeight="1">
      <c r="A2" s="78" t="s">
        <v>158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26.25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30.0" customHeight="1">
      <c r="A4" s="51" t="s">
        <v>132</v>
      </c>
      <c r="B4" s="51" t="s">
        <v>133</v>
      </c>
      <c r="C4" s="51" t="s">
        <v>134</v>
      </c>
      <c r="D4" s="79" t="s">
        <v>159</v>
      </c>
      <c r="E4" s="79" t="s">
        <v>160</v>
      </c>
      <c r="F4" s="51" t="s">
        <v>15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20.25" customHeight="1">
      <c r="A5" s="80">
        <v>1.0</v>
      </c>
      <c r="B5" s="81" t="s">
        <v>147</v>
      </c>
      <c r="C5" s="80">
        <v>1.0</v>
      </c>
      <c r="D5" s="82">
        <f>Mar!L98</f>
        <v>156000</v>
      </c>
      <c r="E5" s="82">
        <f>Mar!M98</f>
        <v>107291.09</v>
      </c>
      <c r="F5" s="83">
        <f t="shared" ref="F5:F14" si="1">D5-E5</f>
        <v>48708.91</v>
      </c>
      <c r="G5" s="84"/>
      <c r="H5" s="84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20.25" customHeight="1">
      <c r="A6" s="80">
        <f t="shared" ref="A6:A14" si="2">1+A5</f>
        <v>2</v>
      </c>
      <c r="B6" s="81" t="s">
        <v>148</v>
      </c>
      <c r="C6" s="80">
        <v>9.0</v>
      </c>
      <c r="D6" s="82">
        <f>Mar!L13+Mar!L14+Mar!L15+Mar!L34+Mar!L47+Mar!L48+Mar!L74+Mar!L87+Mar!L100</f>
        <v>399056055</v>
      </c>
      <c r="E6" s="82">
        <f>Mar!M13+Mar!M14+Mar!M15+Mar!M34+Mar!M47+Mar!M48+Mar!M74+Mar!M87+Mar!M100</f>
        <v>671743238</v>
      </c>
      <c r="F6" s="83">
        <f t="shared" si="1"/>
        <v>-272687183</v>
      </c>
      <c r="G6" s="84"/>
      <c r="H6" s="84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20.25" customHeight="1">
      <c r="A7" s="80">
        <f t="shared" si="2"/>
        <v>3</v>
      </c>
      <c r="B7" s="86" t="s">
        <v>149</v>
      </c>
      <c r="C7" s="55">
        <f>8+2</f>
        <v>10</v>
      </c>
      <c r="D7" s="58">
        <f>Mar!L10+Mar!L11+Mar!L24+Mar!L37+Mar!L45+Mar!L46+Mar!L71+Mar!L82+Mar!L86+Mar!L78</f>
        <v>246502843.9</v>
      </c>
      <c r="E7" s="58">
        <f>Mar!M10+Mar!M11+Mar!M24+Mar!M37+Mar!M45+Mar!M46+Mar!M71+Mar!M82+Mar!M86+Mar!M78</f>
        <v>261696865.2</v>
      </c>
      <c r="F7" s="83">
        <f t="shared" si="1"/>
        <v>-15194021.29</v>
      </c>
      <c r="G7" s="69"/>
      <c r="H7" s="84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20.25" customHeight="1">
      <c r="A8" s="80">
        <f t="shared" si="2"/>
        <v>4</v>
      </c>
      <c r="B8" s="65" t="s">
        <v>150</v>
      </c>
      <c r="C8" s="55">
        <f>8+1+9+1+1</f>
        <v>20</v>
      </c>
      <c r="D8" s="58">
        <f>Mar!L9+Mar!L17+Mar!L18+Mar!L23+Mar!L32+Mar!L49+Mar!L50+Mar!L51+Mar!L52+Mar!L56+Mar!L63+Mar!L70+Mar!L73+Mar!L75+Mar!L76+Mar!L85+Mar!L88+Mar!L89+Mar!L93+Mar!L99+Mar!L103+Mar!L111+Mar!L116</f>
        <v>7249882178</v>
      </c>
      <c r="E8" s="58">
        <f>Mar!M9+Mar!M17+Mar!M18+Mar!M23+Mar!M32+Mar!M49+Mar!M50+Mar!M51+Mar!M52+Mar!M56+Mar!M63+Mar!M70+Mar!M73+Mar!M75+Mar!M76+Mar!M85+Mar!M88+Mar!M89+Mar!M93+Mar!M99+Mar!M103+Mar!M111+Mar!M116</f>
        <v>7726901040</v>
      </c>
      <c r="F8" s="83">
        <f t="shared" si="1"/>
        <v>-477018862</v>
      </c>
      <c r="G8" s="69"/>
      <c r="H8" s="84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20.25" customHeight="1">
      <c r="A9" s="80">
        <f t="shared" si="2"/>
        <v>5</v>
      </c>
      <c r="B9" s="65" t="s">
        <v>151</v>
      </c>
      <c r="C9" s="55">
        <v>3.0</v>
      </c>
      <c r="D9" s="58">
        <f>Mar!L27+Mar!L62+Mar!L72</f>
        <v>13839097.28</v>
      </c>
      <c r="E9" s="58">
        <f>Mar!M27+Mar!M62+Mar!M72</f>
        <v>36669154.42</v>
      </c>
      <c r="F9" s="83">
        <f t="shared" si="1"/>
        <v>-22830057.14</v>
      </c>
      <c r="G9" s="69"/>
      <c r="H9" s="84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20.25" customHeight="1">
      <c r="A10" s="80">
        <f t="shared" si="2"/>
        <v>6</v>
      </c>
      <c r="B10" s="65" t="s">
        <v>152</v>
      </c>
      <c r="C10" s="55">
        <v>1.0</v>
      </c>
      <c r="D10" s="58">
        <f>Mar!L12</f>
        <v>36625656.25</v>
      </c>
      <c r="E10" s="58">
        <f>Mar!M12</f>
        <v>18077523.59</v>
      </c>
      <c r="F10" s="83">
        <f t="shared" si="1"/>
        <v>18548132.66</v>
      </c>
      <c r="G10" s="69"/>
      <c r="H10" s="84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20.25" customHeight="1">
      <c r="A11" s="80">
        <f t="shared" si="2"/>
        <v>7</v>
      </c>
      <c r="B11" s="65" t="s">
        <v>153</v>
      </c>
      <c r="C11" s="55">
        <f>1+1</f>
        <v>2</v>
      </c>
      <c r="D11" s="58">
        <f>Mar!L29+Mar!L30</f>
        <v>30522733.98</v>
      </c>
      <c r="E11" s="58">
        <f>Mar!M29+Mar!M30</f>
        <v>116823413.1</v>
      </c>
      <c r="F11" s="83">
        <f t="shared" si="1"/>
        <v>-86300679.13</v>
      </c>
      <c r="G11" s="69"/>
      <c r="H11" s="84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20.25" customHeight="1">
      <c r="A12" s="80">
        <f t="shared" si="2"/>
        <v>8</v>
      </c>
      <c r="B12" s="65" t="s">
        <v>154</v>
      </c>
      <c r="C12" s="55">
        <v>1.0</v>
      </c>
      <c r="D12" s="58">
        <f>Mar!L16</f>
        <v>0</v>
      </c>
      <c r="E12" s="58">
        <f>Mar!M16</f>
        <v>0</v>
      </c>
      <c r="F12" s="83">
        <f t="shared" si="1"/>
        <v>0</v>
      </c>
      <c r="G12" s="69"/>
      <c r="H12" s="84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0.25" customHeight="1">
      <c r="A13" s="80">
        <f t="shared" si="2"/>
        <v>9</v>
      </c>
      <c r="B13" s="65" t="s">
        <v>155</v>
      </c>
      <c r="C13" s="55">
        <f>7+1</f>
        <v>8</v>
      </c>
      <c r="D13" s="58" t="str">
        <f>Mar!L19+Mar!L20+Mar!L21+Mar!L22+Mar!L31+Mar!L40+Mar!L77+Mar!L90</f>
        <v>#REF!</v>
      </c>
      <c r="E13" s="58" t="str">
        <f>Mar!M19+Mar!M20+Mar!M21+Mar!M22+Mar!M31+Mar!M40+Mar!M77+Mar!M90</f>
        <v>#REF!</v>
      </c>
      <c r="F13" s="83" t="str">
        <f t="shared" si="1"/>
        <v>#REF!</v>
      </c>
      <c r="G13" s="69"/>
      <c r="H13" s="84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20.25" customHeight="1">
      <c r="A14" s="80">
        <f t="shared" si="2"/>
        <v>10</v>
      </c>
      <c r="B14" s="65" t="s">
        <v>156</v>
      </c>
      <c r="C14" s="55">
        <f>15+1+1</f>
        <v>17</v>
      </c>
      <c r="D14" s="58">
        <f>Mar!L25+Mar!L26+Mar!L38+Mar!L53+Mar!L54+Mar!L57+Mar!L58+Mar!L59+Mar!L64+Mar!L65+Mar!L79+Mar!L80+Mar!L91+Mar!L101+Mar!L106+Mar!L112+Mar!L113</f>
        <v>4504929997</v>
      </c>
      <c r="E14" s="58">
        <f>Mar!M25+Mar!M26+Mar!M38+Mar!M53+Mar!M54+Mar!M57+Mar!M58+Mar!M59+Mar!M64+Mar!M65+Mar!M79+Mar!M80+Mar!M91+Mar!M101+Mar!M106+Mar!M112+Mar!M113</f>
        <v>5832351708</v>
      </c>
      <c r="F14" s="83">
        <f t="shared" si="1"/>
        <v>-1327421711</v>
      </c>
      <c r="G14" s="69"/>
      <c r="H14" s="84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9.75" customHeight="1">
      <c r="A15" s="64"/>
      <c r="B15" s="41"/>
      <c r="C15" s="64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30.0" customHeight="1">
      <c r="A16" s="71" t="s">
        <v>157</v>
      </c>
      <c r="B16" s="13"/>
      <c r="C16" s="72">
        <f t="shared" ref="C16:F16" si="3">SUM(C5:C14)</f>
        <v>72</v>
      </c>
      <c r="D16" s="73" t="str">
        <f t="shared" si="3"/>
        <v>#REF!</v>
      </c>
      <c r="E16" s="73" t="str">
        <f t="shared" si="3"/>
        <v>#REF!</v>
      </c>
      <c r="F16" s="73" t="str">
        <f t="shared" si="3"/>
        <v>#REF!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0" customHeight="1">
      <c r="A17" s="41"/>
      <c r="B17" s="41"/>
      <c r="C17" s="41"/>
      <c r="D17" s="76" t="str">
        <f>D16-Mar!L119</f>
        <v>#REF!</v>
      </c>
      <c r="E17" s="76" t="str">
        <f>E16-Mar!M119</f>
        <v>#REF!</v>
      </c>
      <c r="F17" s="76" t="str">
        <f>F16-Mar!N119</f>
        <v>#REF!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0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0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0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0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0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0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0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0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2.0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2.0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2.0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2.0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2.0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2.0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2.0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2.0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2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2.0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2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2.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2.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2.0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2.0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2.0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2.0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2.0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2.0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2.0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2.0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2.0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2.0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2.0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2.0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2.0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2.0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2.0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2.0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2.0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2.0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2.0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2.0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2.0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2.0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2.0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2.0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2.0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2.0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2.0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2.0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2.0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2.0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2.0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2.0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2.0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2.0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2.0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2.0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2.0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2.0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2.0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2.0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2.0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2.0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2.0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2.0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2.0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2.0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2.0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2.0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2.0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2.0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2.0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2.0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2.0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2.0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2.0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2.0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2.0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2.0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2.0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2.0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2.0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2.0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2.0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2.0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2.0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2.0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2.0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2.0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2.0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2.0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2.0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2.0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2.0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2.0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2.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2.0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2.0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2.0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2.0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2.0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2.0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2.0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2.0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2.0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2.0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2.0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2.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2.0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2.0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2.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2.0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2.0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2.0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2.0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2.0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2.0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2.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2.0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2.0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2.0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2.0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2.0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2.0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2.0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2.0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2.0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2.0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2.0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2.0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2.0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2.0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2.0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2.0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0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0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2.0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0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2.0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2.0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2.0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0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2.0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2.0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2.0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0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2.0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2.0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0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2.0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2.0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2.0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2.0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2.0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2.0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2.0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2.0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2.0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2.0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2.0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2.0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2.0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2.0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2.0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2.0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2.0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2.0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2.0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2.0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2.0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2.0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2.0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2.0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2.0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2.0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2.0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2.0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2.0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2.0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2.0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2.0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2.0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2.0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2.0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2.0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2.0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2.0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2.0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2.0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2.0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2.0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2.0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2.0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2.0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2.0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2.0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2.0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2.0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2.0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B16"/>
  </mergeCells>
  <printOptions/>
  <pageMargins bottom="1.0" footer="0.0" header="0.0" left="1.0" right="1.0" top="1.0"/>
  <pageSetup paperSize="5" scale="80" orientation="portrait"/>
  <drawing r:id="rId1"/>
</worksheet>
</file>